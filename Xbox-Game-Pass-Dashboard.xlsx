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14" documentId="13_ncr:1_{FF4374F7-DEBA-46D4-8323-E458C688DE6F}" xr6:coauthVersionLast="47" xr6:coauthVersionMax="47" xr10:uidLastSave="{AB166009-B041-4F5B-9D15-54278AC61EA5}"/>
  <bookViews>
    <workbookView xWindow="-108" yWindow="-108" windowWidth="23256" windowHeight="13896" tabRatio="0" firstSheet="3" activeTab="3" xr2:uid="{28DD5B76-0634-4F87-BE60-8BFA7EF2E23B}"/>
  </bookViews>
  <sheets>
    <sheet name="B̳ases" sheetId="2" r:id="rId1"/>
    <sheet name="A̳ssets" sheetId="1" r:id="rId2"/>
    <sheet name="C̳álculos" sheetId="3" r:id="rId3"/>
    <sheet name="D̳ashboard" sheetId="5" r:id="rId4"/>
    <sheet name="K̳PI &amp; Insights" sheetId="6" r:id="rId5"/>
  </sheets>
  <definedNames>
    <definedName name="SegmentaçãodeDados_Subscription_Type">#N/A</definedName>
  </definedNames>
  <calcPr calcId="191029" forceFullCalc="1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6" l="1"/>
  <c r="H43" i="3" l="1"/>
  <c r="C7" i="6" s="1"/>
  <c r="J38" i="3"/>
  <c r="I38" i="3"/>
  <c r="H38" i="3"/>
  <c r="J37" i="3"/>
  <c r="I37" i="3"/>
  <c r="H37" i="3"/>
  <c r="J34" i="3"/>
  <c r="I34" i="3"/>
  <c r="H34" i="3"/>
  <c r="J33" i="3"/>
  <c r="I33" i="3"/>
  <c r="H33" i="3"/>
  <c r="J32" i="3"/>
  <c r="I32" i="3"/>
  <c r="H32" i="3"/>
  <c r="J30" i="3"/>
  <c r="I30" i="3"/>
  <c r="H30" i="3"/>
  <c r="J29" i="3"/>
  <c r="I29" i="3"/>
  <c r="H29" i="3"/>
  <c r="J28" i="3"/>
  <c r="I28" i="3"/>
  <c r="H28" i="3"/>
  <c r="J27" i="3"/>
  <c r="I27" i="3"/>
  <c r="H27" i="3"/>
  <c r="J25" i="3"/>
  <c r="I25" i="3"/>
  <c r="H25" i="3"/>
  <c r="J24" i="3"/>
  <c r="D42" i="6" s="1"/>
  <c r="I24" i="3"/>
  <c r="H24" i="3"/>
  <c r="J11" i="3"/>
  <c r="H16" i="3"/>
  <c r="H17" i="3" s="1"/>
  <c r="H15" i="3"/>
  <c r="H13" i="3"/>
  <c r="H11" i="3"/>
  <c r="H12" i="3" s="1"/>
  <c r="D35" i="3"/>
  <c r="D47" i="3"/>
  <c r="H44" i="3" l="1"/>
  <c r="H31" i="6" s="1"/>
  <c r="J15" i="3"/>
  <c r="I40" i="3"/>
  <c r="I41" i="6" s="1"/>
  <c r="H31" i="3"/>
  <c r="H41" i="3"/>
  <c r="J40" i="6" s="1"/>
  <c r="I35" i="3"/>
  <c r="K41" i="6" s="1"/>
  <c r="H40" i="3"/>
  <c r="I40" i="6" s="1"/>
  <c r="I41" i="3"/>
  <c r="J41" i="6" s="1"/>
  <c r="J40" i="3"/>
  <c r="I42" i="6" s="1"/>
  <c r="H39" i="3"/>
  <c r="H40" i="6" s="1"/>
  <c r="E40" i="6"/>
  <c r="J35" i="3"/>
  <c r="K42" i="6" s="1"/>
  <c r="I26" i="3"/>
  <c r="F41" i="6" s="1"/>
  <c r="J41" i="3"/>
  <c r="J42" i="6" s="1"/>
  <c r="J26" i="3"/>
  <c r="F42" i="6" s="1"/>
  <c r="J39" i="3"/>
  <c r="H42" i="6" s="1"/>
  <c r="E41" i="6"/>
  <c r="I31" i="3"/>
  <c r="I39" i="3"/>
  <c r="H41" i="6" s="1"/>
  <c r="J31" i="3"/>
  <c r="I36" i="3"/>
  <c r="H36" i="3"/>
  <c r="J36" i="3"/>
  <c r="H45" i="3"/>
  <c r="H35" i="3"/>
  <c r="K40" i="6" s="1"/>
  <c r="H26" i="3"/>
  <c r="F40" i="6" s="1"/>
  <c r="D40" i="6"/>
  <c r="H14" i="3"/>
  <c r="J14" i="3" s="1"/>
  <c r="E42" i="6"/>
  <c r="D41" i="6"/>
  <c r="C26" i="6" l="1"/>
  <c r="H22" i="6"/>
  <c r="H32" i="6"/>
  <c r="C32" i="6"/>
  <c r="C27" i="6"/>
  <c r="C21" i="6"/>
  <c r="C8" i="6" a="1"/>
  <c r="C8" i="6" s="1"/>
  <c r="C31" i="6"/>
  <c r="C16" i="6"/>
  <c r="H16" i="6"/>
  <c r="H27" i="6"/>
  <c r="C22" i="6"/>
  <c r="H17" i="6"/>
  <c r="C17" i="6"/>
  <c r="H26" i="6"/>
  <c r="C35" i="6"/>
  <c r="H2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<sst xmlns="http://schemas.openxmlformats.org/spreadsheetml/2006/main" count="1897" uniqueCount="371">
  <si>
    <t>Paleta de Cores</t>
  </si>
  <si>
    <t>Logos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</si>
  <si>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</si>
  <si>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</si>
  <si>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</si>
  <si>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</si>
  <si>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</si>
  <si>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</si>
  <si>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</si>
  <si>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</si>
  <si>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</si>
  <si>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</si>
  <si>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</si>
  <si>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</si>
  <si>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</si>
  <si>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</si>
  <si>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</si>
  <si>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</si>
  <si>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</si>
  <si>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</si>
  <si>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</si>
  <si>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</si>
  <si>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</si>
  <si>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</si>
  <si>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</si>
  <si>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</si>
  <si>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</si>
  <si>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</si>
  <si>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</si>
  <si>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</si>
  <si>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</si>
  <si>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</si>
  <si>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</si>
  <si>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</si>
  <si>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</si>
  <si>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</si>
  <si>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</si>
  <si>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</si>
  <si>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</si>
  <si>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</si>
  <si>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</si>
  <si>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</si>
  <si>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</si>
  <si>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</si>
  <si>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</si>
  <si>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</si>
  <si>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</si>
  <si>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</si>
  <si>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</si>
  <si>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</si>
  <si>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</si>
  <si>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</si>
  <si>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</si>
  <si>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</si>
  <si>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</si>
  <si>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</si>
  <si>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</si>
  <si>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</si>
  <si>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</si>
  <si>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</si>
  <si>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</si>
  <si>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</si>
  <si>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</si>
  <si>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</si>
  <si>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</si>
  <si>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</si>
  <si>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</si>
  <si>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</si>
  <si>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</si>
  <si>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</si>
  <si>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</si>
  <si>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</si>
  <si>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</si>
  <si>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</si>
  <si>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</si>
  <si>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</si>
  <si>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</si>
  <si>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</si>
  <si>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</si>
  <si>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</si>
  <si>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</si>
  <si>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</si>
  <si>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</si>
  <si>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</si>
  <si>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</si>
  <si>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</si>
  <si>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</si>
  <si>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</si>
  <si>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</si>
  <si>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</si>
  <si>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</si>
  <si>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</si>
  <si>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</si>
  <si>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</si>
  <si>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</si>
  <si>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</si>
  <si>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</si>
  <si>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</si>
  <si>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</si>
  <si>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</si>
  <si>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</si>
  <si>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</si>
  <si>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</si>
  <si>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</si>
  <si>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</si>
  <si>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</si>
  <si>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</si>
  <si>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</si>
  <si>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</si>
  <si>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</si>
  <si>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</si>
  <si>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</si>
  <si>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</si>
  <si>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</si>
  <si>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</si>
  <si>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</si>
  <si>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</si>
  <si>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</si>
  <si>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</si>
  <si>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</si>
  <si>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</si>
  <si>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</si>
  <si>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</si>
  <si>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</si>
  <si>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</si>
  <si>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</si>
  <si>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</si>
  <si>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</si>
  <si>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</si>
  <si>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</si>
  <si>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</si>
  <si>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</si>
  <si>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</si>
  <si>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</si>
  <si>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</si>
  <si>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</si>
  <si>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</si>
  <si>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</si>
  <si>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</si>
  <si>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</si>
  <si>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</si>
  <si>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</si>
  <si>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</si>
  <si>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</si>
  <si>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</si>
  <si>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</si>
  <si>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</si>
  <si>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</si>
  <si>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</si>
  <si>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</si>
  <si>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</si>
  <si>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</si>
  <si>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</si>
  <si>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</si>
  <si>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</si>
  <si>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</si>
  <si>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</si>
  <si>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</si>
  <si>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</si>
  <si>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</si>
  <si>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</si>
  <si>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</si>
  <si>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</si>
  <si>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</si>
  <si>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</si>
  <si>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</si>
  <si>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</si>
  <si>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</si>
  <si>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</si>
  <si>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</si>
  <si>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</si>
  <si>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</si>
  <si>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</si>
  <si>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</si>
  <si>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</si>
  <si>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</si>
  <si>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</si>
  <si>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</si>
  <si>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</si>
  <si>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</si>
  <si>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</si>
  <si>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</si>
  <si>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</si>
  <si>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</si>
  <si>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</si>
  <si>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</si>
  <si>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</si>
  <si>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</si>
  <si>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</si>
  <si>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</si>
  <si>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</si>
  <si>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</si>
  <si>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</si>
  <si>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</si>
  <si>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</si>
  <si>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</si>
  <si>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</si>
  <si>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</si>
  <si>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</si>
  <si>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</si>
  <si>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</si>
  <si>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</si>
  <si>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</si>
  <si>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</si>
  <si>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</si>
  <si>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</si>
  <si>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</si>
  <si>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</si>
  <si>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</si>
  <si>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</si>
  <si>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</si>
  <si>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</si>
  <si>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</si>
  <si>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</si>
  <si>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</si>
  <si>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</si>
  <si>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</si>
  <si>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</si>
  <si>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</si>
  <si>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</si>
  <si>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</si>
  <si>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</si>
  <si>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</si>
  <si>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</si>
  <si>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</si>
  <si>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</si>
  <si>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</si>
  <si>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</si>
  <si>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</si>
  <si>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</si>
  <si>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</si>
  <si>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</si>
  <si>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</si>
  <si>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</si>
  <si>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</si>
  <si>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</si>
  <si>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</si>
  <si>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</si>
  <si>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</si>
  <si>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</si>
  <si>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</si>
  <si>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</si>
  <si>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</si>
  <si>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</si>
  <si>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</si>
  <si>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</si>
  <si>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</si>
  <si>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</si>
  <si>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</si>
  <si>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</si>
  <si>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</si>
  <si>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</si>
  <si>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</si>
  <si>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</si>
  <si>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</si>
  <si>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</si>
  <si>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</si>
  <si>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</si>
  <si>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</si>
  <si>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</si>
  <si>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</si>
  <si>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</si>
  <si>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</si>
  <si>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</si>
  <si>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</si>
  <si>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</si>
  <si>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</si>
  <si>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</si>
  <si>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</si>
  <si>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</si>
  <si>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</si>
  <si>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</si>
  <si>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</si>
  <si>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</si>
  <si>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</si>
  <si>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</si>
  <si>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</si>
  <si>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</si>
  <si>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</si>
  <si>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</si>
  <si>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</si>
  <si>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</si>
  <si>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</si>
  <si>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</si>
  <si>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</si>
  <si>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</si>
  <si>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</si>
  <si>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</si>
  <si>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</si>
  <si>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</si>
  <si>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</si>
  <si>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</si>
  <si>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</si>
  <si>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</si>
  <si>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</si>
  <si>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</si>
  <si>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</si>
  <si>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</si>
  <si>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</si>
  <si>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</si>
  <si>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</si>
  <si>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</si>
  <si>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</si>
  <si>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</si>
  <si>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</si>
  <si>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</si>
  <si>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</si>
  <si>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Subscription Price</t>
  </si>
  <si>
    <t>Rótulos de Linha</t>
  </si>
  <si>
    <t>Total Geral</t>
  </si>
  <si>
    <t>Soma de Total Value</t>
  </si>
  <si>
    <t>Soma de Minecraft Season Pass Price</t>
  </si>
  <si>
    <t># 16823E</t>
  </si>
  <si>
    <t># 22C35D</t>
  </si>
  <si>
    <t>Pergunta de negócio 3 - Qual é o faturamento das assinaturas do EA Play Season Pass?</t>
  </si>
  <si>
    <t>Pergunta de negócio 4 - Qual é o faturamento das assinaturas do Minecraft Season Pass?</t>
  </si>
  <si>
    <t>XBOX GAME PASS SUBSCRIPTION SALES</t>
  </si>
  <si>
    <t>Pergunta de Negócio 5 - Qual é o faturamento por plano?</t>
  </si>
  <si>
    <t>Pergunta de Negócio 1 - Qual é o faturamento total das assinaturas?</t>
  </si>
  <si>
    <t># 418629</t>
  </si>
  <si>
    <t># CECECE</t>
  </si>
  <si>
    <t># C0F2AC</t>
  </si>
  <si>
    <t>Gráficos</t>
  </si>
  <si>
    <t>Pergunta de Negócio 2 - Qual é o faturamento das assinaturas por renovação automática?</t>
  </si>
  <si>
    <t>Soma de EA Play Season Pass Price</t>
  </si>
  <si>
    <t>KPIs adicionais da Dashboard (seguem a segmentação Subscription Type)</t>
  </si>
  <si>
    <t>Tipo selecionado</t>
  </si>
  <si>
    <t>Quantidade de assinaturas</t>
  </si>
  <si>
    <t>Faturamento</t>
  </si>
  <si>
    <t>Ticket médio</t>
  </si>
  <si>
    <t>Plano destaque</t>
  </si>
  <si>
    <t>Faturamento do plano destaque</t>
  </si>
  <si>
    <t>Participação no faturamento</t>
  </si>
  <si>
    <t>Obs.: com mais de um tipo selecionado na segmentação, a quantidade considera todas as assinaturas.</t>
  </si>
  <si>
    <t>Transformando os resultados da base em conclusões</t>
  </si>
  <si>
    <t>Conclusão do período</t>
  </si>
  <si>
    <t>COMPARATIVO DOS TRÊS PERÍODOS</t>
  </si>
  <si>
    <t>Período</t>
  </si>
  <si>
    <t>Assin.</t>
  </si>
  <si>
    <t>Fatur.</t>
  </si>
  <si>
    <t>Ticket</t>
  </si>
  <si>
    <t>Renov.</t>
  </si>
  <si>
    <t>Minecraft</t>
  </si>
  <si>
    <t>EA Play</t>
  </si>
  <si>
    <t>Plano líder</t>
  </si>
  <si>
    <t>Assinaturas</t>
  </si>
  <si>
    <t>Renovação automática (R$)</t>
  </si>
  <si>
    <t>Minecraft (R$)</t>
  </si>
  <si>
    <t>EA Play (R$)</t>
  </si>
  <si>
    <t>Cupons (R$)</t>
  </si>
  <si>
    <t>Valor bruto (R$)</t>
  </si>
  <si>
    <t>Faturamento do plano líder</t>
  </si>
  <si>
    <t>Assinantes com Minecraft</t>
  </si>
  <si>
    <t>Assinantes com EA Play</t>
  </si>
  <si>
    <t>% Renovação</t>
  </si>
  <si>
    <t>% Minecraft</t>
  </si>
  <si>
    <t>% EA Play</t>
  </si>
  <si>
    <t>Período selecionado (segue a segmentação da Dashboard)</t>
  </si>
  <si>
    <t>Coluna</t>
  </si>
  <si>
    <t>Faturamento total da base</t>
  </si>
  <si>
    <t xml:space="preserve">Plano destaque/ Ticket médio </t>
  </si>
  <si>
    <t xml:space="preserve">                  Perguntas de negócio respondidas através de  análises de dados específicas               </t>
  </si>
  <si>
    <t xml:space="preserve">Base de cálculo da aba KPI </t>
  </si>
  <si>
    <t xml:space="preserve"> Auto Renewal</t>
  </si>
  <si>
    <t>Minecraft Adoption</t>
  </si>
  <si>
    <t>EA Play Adoption</t>
  </si>
  <si>
    <t>Top Plan</t>
  </si>
  <si>
    <t>Average Ticket</t>
  </si>
  <si>
    <t xml:space="preserve"> </t>
  </si>
  <si>
    <t>XBOX GAME PASS - KPI &amp; INSIGHTS</t>
  </si>
  <si>
    <t xml:space="preserve">    Minecraft Season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</si>
</sst>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%"/>
    <numFmt numFmtId="166" formatCode="&quot;R$&quot;\ #,##0"/>
  </numFmts>
  <fonts count="39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rgb="FF22C55E"/>
      <name val="Aptos Narrow"/>
      <family val="2"/>
      <scheme val="minor"/>
    </font>
    <font>
      <b/>
      <sz val="18"/>
      <color rgb="FF16823E"/>
      <name val="Segoe UI Black"/>
      <family val="2"/>
    </font>
    <font>
      <sz val="10"/>
      <color rgb="FF404040"/>
      <name val="Segoe UI"/>
      <family val="2"/>
    </font>
    <font>
      <b/>
      <sz val="10"/>
      <color rgb="FF404040"/>
      <name val="Segoe UI"/>
      <family val="2"/>
    </font>
    <font>
      <i/>
      <sz val="9"/>
      <color rgb="FF808080"/>
      <name val="Segoe UI"/>
      <family val="2"/>
    </font>
    <font>
      <sz val="11"/>
      <color rgb="FF1F2937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9"/>
      <color rgb="FF6B7280"/>
      <name val="Aptos Narrow"/>
      <family val="2"/>
      <scheme val="minor"/>
    </font>
    <font>
      <sz val="10"/>
      <color theme="1"/>
      <name val="Segoe UI"/>
      <family val="2"/>
    </font>
    <font>
      <b/>
      <sz val="13"/>
      <color theme="0" tint="-0.499984740745262"/>
      <name val="Segoe UI"/>
      <family val="2"/>
    </font>
    <font>
      <sz val="11"/>
      <color theme="0" tint="-0.499984740745262"/>
      <name val="Aptos Narrow"/>
      <family val="2"/>
      <scheme val="minor"/>
    </font>
    <font>
      <sz val="12"/>
      <color rgb="FF6B7280"/>
      <name val="Aptos Narrow"/>
      <family val="2"/>
      <scheme val="minor"/>
    </font>
    <font>
      <sz val="10"/>
      <color rgb="FF374151"/>
      <name val="Segoe UI"/>
      <family val="2"/>
    </font>
    <font>
      <sz val="10"/>
      <color rgb="FF16823E"/>
      <name val="Segoe UI"/>
      <family val="2"/>
    </font>
    <font>
      <sz val="16"/>
      <color rgb="FF6B7280"/>
      <name val="Segoe UI"/>
      <family val="2"/>
    </font>
    <font>
      <sz val="16"/>
      <color rgb="FF1F2937"/>
      <name val="Segoe UI"/>
      <family val="2"/>
    </font>
    <font>
      <sz val="16"/>
      <color rgb="FF6B7280"/>
      <name val="Aptos Narrow"/>
      <family val="2"/>
      <scheme val="minor"/>
    </font>
    <font>
      <sz val="16"/>
      <color rgb="FF1F2937"/>
      <name val="Aptos Narrow"/>
      <family val="2"/>
      <scheme val="minor"/>
    </font>
    <font>
      <b/>
      <sz val="36"/>
      <color rgb="FFFFFFFF"/>
      <name val="Segoe UI"/>
      <family val="2"/>
    </font>
    <font>
      <sz val="36"/>
      <color rgb="FF1F2937"/>
      <name val="Segoe UI"/>
      <family val="2"/>
    </font>
    <font>
      <b/>
      <sz val="16"/>
      <color rgb="FFFFFFFF"/>
      <name val="Segoe UI"/>
      <family val="2"/>
    </font>
    <font>
      <b/>
      <sz val="16"/>
      <color rgb="FF14532D"/>
      <name val="Aptos Narrow"/>
      <family val="2"/>
      <scheme val="minor"/>
    </font>
    <font>
      <sz val="16"/>
      <color rgb="FF14532D"/>
      <name val="Aptos Narrow"/>
      <family val="2"/>
      <scheme val="minor"/>
    </font>
    <font>
      <b/>
      <sz val="16"/>
      <color rgb="FF6B7280"/>
      <name val="Segoe UI"/>
      <family val="2"/>
    </font>
    <font>
      <sz val="16"/>
      <color rgb="FF111827"/>
      <name val="Segoe UI"/>
      <family val="2"/>
    </font>
    <font>
      <sz val="16"/>
      <color theme="1"/>
      <name val="Segoe UI"/>
      <family val="2"/>
    </font>
    <font>
      <sz val="18"/>
      <color rgb="FFFFFFFF"/>
      <name val="Segoe UI"/>
      <family val="2"/>
    </font>
    <font>
      <sz val="14"/>
      <color rgb="FFFFFFFF"/>
      <name val="Segoe UI"/>
      <family val="2"/>
    </font>
    <font>
      <sz val="14"/>
      <color rgb="FF1F2937"/>
      <name val="Segoe UI"/>
      <family val="2"/>
    </font>
    <font>
      <sz val="14"/>
      <color rgb="FF6B7280"/>
      <name val="Segoe UI"/>
      <family val="2"/>
    </font>
    <font>
      <b/>
      <sz val="28"/>
      <color rgb="FF16823E"/>
      <name val="Segoe UI"/>
      <family val="2"/>
    </font>
    <font>
      <b/>
      <sz val="32"/>
      <color rgb="FFFFFFFF"/>
      <name val="Segoe UI"/>
      <family val="2"/>
    </font>
    <font>
      <b/>
      <sz val="32"/>
      <color rgb="FF1F2937"/>
      <name val="Segoe UI"/>
      <family val="2"/>
    </font>
    <font>
      <sz val="18"/>
      <color rgb="FF6B7280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  <fill>
      <patternFill patternType="solid">
        <fgColor rgb="FF16823E"/>
        <bgColor indexed="64"/>
      </patternFill>
    </fill>
    <fill>
      <patternFill patternType="solid">
        <fgColor rgb="FF418629"/>
        <bgColor indexed="64"/>
      </patternFill>
    </fill>
    <fill>
      <patternFill patternType="solid">
        <fgColor rgb="FFCECECE"/>
        <bgColor indexed="64"/>
      </patternFill>
    </fill>
    <fill>
      <patternFill patternType="solid">
        <fgColor rgb="FFC0F2AC"/>
        <bgColor indexed="64"/>
      </patternFill>
    </fill>
    <fill>
      <patternFill patternType="solid">
        <fgColor rgb="FFEDED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6823E"/>
        <bgColor indexed="64"/>
      </patternFill>
    </fill>
    <fill>
      <patternFill patternType="solid">
        <fgColor rgb="FFC6F0B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  <border>
      <left/>
      <right/>
      <top style="medium">
        <color rgb="FF16823E"/>
      </top>
      <bottom/>
      <diagonal/>
    </border>
    <border>
      <left/>
      <right/>
      <top/>
      <bottom style="thin">
        <color rgb="FFDADCE0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5" borderId="0" applyNumberFormat="0" applyBorder="0" applyAlignment="0" applyProtection="0"/>
  </cellStyleXfs>
  <cellXfs count="10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4" fontId="0" fillId="0" borderId="0" xfId="0" applyNumberFormat="1"/>
    <xf numFmtId="0" fontId="5" fillId="0" borderId="2" xfId="1" applyFont="1" applyFill="1" applyBorder="1"/>
    <xf numFmtId="0" fontId="5" fillId="0" borderId="0" xfId="1" applyFont="1" applyFill="1" applyBorder="1"/>
    <xf numFmtId="0" fontId="0" fillId="6" borderId="0" xfId="0" applyFill="1"/>
    <xf numFmtId="0" fontId="0" fillId="0" borderId="0" xfId="0" applyFill="1"/>
    <xf numFmtId="0" fontId="6" fillId="0" borderId="2" xfId="1" applyFont="1" applyFill="1" applyBorder="1" applyAlignment="1">
      <alignment horizontal="left" indent="7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 applyProtection="1">
      <alignment horizontal="center" vertical="center" wrapText="1"/>
    </xf>
    <xf numFmtId="14" fontId="0" fillId="0" borderId="0" xfId="0" applyNumberFormat="1" applyAlignment="1" applyProtection="1">
      <alignment horizontal="center" vertical="center" wrapText="1"/>
    </xf>
    <xf numFmtId="44" fontId="0" fillId="0" borderId="0" xfId="2" applyFont="1" applyAlignment="1" applyProtection="1">
      <alignment horizontal="center" vertical="center" wrapText="1"/>
    </xf>
    <xf numFmtId="0" fontId="3" fillId="0" borderId="0" xfId="0" applyFont="1" applyAlignment="1" applyProtection="1">
      <alignment horizontal="center" vertical="center" wrapText="1"/>
      <protection locked="0"/>
    </xf>
    <xf numFmtId="0" fontId="9" fillId="0" borderId="0" xfId="0" applyNumberFormat="1" applyFont="1" applyFill="1" applyAlignment="1"/>
    <xf numFmtId="0" fontId="10" fillId="10" borderId="0" xfId="0" applyNumberFormat="1" applyFont="1" applyFill="1" applyBorder="1" applyAlignment="1">
      <alignment horizontal="left" vertical="center"/>
    </xf>
    <xf numFmtId="0" fontId="10" fillId="10" borderId="0" xfId="0" applyNumberFormat="1" applyFont="1" applyFill="1" applyBorder="1" applyAlignment="1">
      <alignment horizontal="left" vertical="center"/>
    </xf>
    <xf numFmtId="0" fontId="10" fillId="14" borderId="0" xfId="0" applyNumberFormat="1" applyFont="1" applyFill="1" applyBorder="1" applyAlignment="1">
      <alignment horizontal="left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/>
    </xf>
    <xf numFmtId="0" fontId="0" fillId="0" borderId="0" xfId="0" applyAlignment="1"/>
    <xf numFmtId="164" fontId="0" fillId="0" borderId="0" xfId="0" applyNumberFormat="1" applyAlignment="1"/>
    <xf numFmtId="44" fontId="0" fillId="0" borderId="0" xfId="0" applyNumberFormat="1" applyAlignment="1"/>
    <xf numFmtId="3" fontId="7" fillId="0" borderId="5" xfId="0" applyNumberFormat="1" applyFont="1" applyFill="1" applyBorder="1" applyAlignment="1">
      <alignment horizontal="center" wrapText="1"/>
    </xf>
    <xf numFmtId="164" fontId="7" fillId="0" borderId="5" xfId="0" applyNumberFormat="1" applyFont="1" applyFill="1" applyBorder="1" applyAlignment="1">
      <alignment horizontal="center" wrapText="1"/>
    </xf>
    <xf numFmtId="3" fontId="7" fillId="0" borderId="5" xfId="0" applyNumberFormat="1" applyFont="1" applyFill="1" applyBorder="1" applyAlignment="1">
      <alignment horizontal="center" vertical="center" wrapText="1"/>
    </xf>
    <xf numFmtId="165" fontId="7" fillId="0" borderId="5" xfId="0" applyNumberFormat="1" applyFont="1" applyFill="1" applyBorder="1" applyAlignment="1">
      <alignment horizontal="center" wrapText="1"/>
    </xf>
    <xf numFmtId="0" fontId="8" fillId="15" borderId="5" xfId="0" applyNumberFormat="1" applyFont="1" applyFill="1" applyBorder="1" applyAlignment="1">
      <alignment vertical="center" wrapText="1"/>
    </xf>
    <xf numFmtId="0" fontId="14" fillId="0" borderId="0" xfId="0" applyNumberFormat="1" applyFont="1" applyFill="1" applyAlignment="1"/>
    <xf numFmtId="0" fontId="15" fillId="0" borderId="0" xfId="0" applyFont="1" applyAlignment="1"/>
    <xf numFmtId="0" fontId="7" fillId="15" borderId="5" xfId="0" applyNumberFormat="1" applyFont="1" applyFill="1" applyBorder="1" applyAlignment="1">
      <alignment horizontal="center" vertical="center"/>
    </xf>
    <xf numFmtId="0" fontId="0" fillId="14" borderId="0" xfId="0" applyFill="1"/>
    <xf numFmtId="0" fontId="11" fillId="14" borderId="0" xfId="0" applyNumberFormat="1" applyFont="1" applyFill="1" applyBorder="1" applyAlignment="1">
      <alignment horizontal="left" vertical="center"/>
    </xf>
    <xf numFmtId="0" fontId="10" fillId="4" borderId="0" xfId="0" applyNumberFormat="1" applyFont="1" applyFill="1" applyBorder="1" applyAlignment="1">
      <alignment horizontal="left" vertical="center"/>
    </xf>
    <xf numFmtId="0" fontId="11" fillId="4" borderId="0" xfId="0" applyNumberFormat="1" applyFont="1" applyFill="1" applyBorder="1" applyAlignment="1">
      <alignment horizontal="left" vertical="center"/>
    </xf>
    <xf numFmtId="0" fontId="12" fillId="4" borderId="0" xfId="0" applyNumberFormat="1" applyFont="1" applyFill="1" applyBorder="1" applyAlignment="1">
      <alignment horizontal="left" vertical="center"/>
    </xf>
    <xf numFmtId="0" fontId="13" fillId="4" borderId="7" xfId="0" applyFont="1" applyFill="1" applyBorder="1"/>
    <xf numFmtId="0" fontId="17" fillId="4" borderId="7" xfId="0" applyNumberFormat="1" applyFont="1" applyFill="1" applyBorder="1" applyAlignment="1">
      <alignment horizontal="left" vertical="center"/>
    </xf>
    <xf numFmtId="0" fontId="17" fillId="4" borderId="7" xfId="0" applyNumberFormat="1" applyFont="1" applyFill="1" applyBorder="1" applyAlignment="1">
      <alignment horizontal="center" vertical="center"/>
    </xf>
    <xf numFmtId="3" fontId="17" fillId="4" borderId="7" xfId="0" applyNumberFormat="1" applyFont="1" applyFill="1" applyBorder="1" applyAlignment="1">
      <alignment horizontal="center" vertical="center"/>
    </xf>
    <xf numFmtId="164" fontId="17" fillId="4" borderId="7" xfId="0" applyNumberFormat="1" applyFont="1" applyFill="1" applyBorder="1" applyAlignment="1">
      <alignment horizontal="center" vertical="center"/>
    </xf>
    <xf numFmtId="165" fontId="17" fillId="4" borderId="7" xfId="0" applyNumberFormat="1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/>
    </xf>
    <xf numFmtId="0" fontId="18" fillId="4" borderId="7" xfId="0" applyNumberFormat="1" applyFont="1" applyFill="1" applyBorder="1" applyAlignment="1">
      <alignment horizontal="left" vertical="center"/>
    </xf>
    <xf numFmtId="0" fontId="10" fillId="4" borderId="0" xfId="0" applyNumberFormat="1" applyFont="1" applyFill="1" applyBorder="1" applyAlignment="1">
      <alignment horizontal="left" vertical="top"/>
    </xf>
    <xf numFmtId="0" fontId="10" fillId="10" borderId="0" xfId="0" applyNumberFormat="1" applyFont="1" applyFill="1" applyBorder="1" applyAlignment="1">
      <alignment horizontal="left" vertical="top"/>
    </xf>
    <xf numFmtId="0" fontId="0" fillId="4" borderId="0" xfId="0" applyFill="1" applyAlignment="1">
      <alignment vertical="top"/>
    </xf>
    <xf numFmtId="0" fontId="0" fillId="12" borderId="0" xfId="0" applyFill="1"/>
    <xf numFmtId="0" fontId="19" fillId="11" borderId="4" xfId="0" applyNumberFormat="1" applyFont="1" applyFill="1" applyBorder="1" applyAlignment="1">
      <alignment horizontal="left" vertical="center" indent="1"/>
    </xf>
    <xf numFmtId="0" fontId="19" fillId="11" borderId="4" xfId="0" applyNumberFormat="1" applyFont="1" applyFill="1" applyBorder="1" applyAlignment="1">
      <alignment horizontal="right" vertical="center"/>
    </xf>
    <xf numFmtId="0" fontId="20" fillId="11" borderId="4" xfId="0" applyNumberFormat="1" applyFont="1" applyFill="1" applyBorder="1" applyAlignment="1">
      <alignment horizontal="left" vertical="center"/>
    </xf>
    <xf numFmtId="0" fontId="29" fillId="11" borderId="0" xfId="0" applyNumberFormat="1" applyFont="1" applyFill="1" applyBorder="1" applyAlignment="1">
      <alignment horizontal="left" vertical="center" indent="1"/>
    </xf>
    <xf numFmtId="166" fontId="29" fillId="11" borderId="0" xfId="0" applyNumberFormat="1" applyFont="1" applyFill="1" applyBorder="1" applyAlignment="1">
      <alignment horizontal="right" vertical="center"/>
    </xf>
    <xf numFmtId="4" fontId="29" fillId="11" borderId="0" xfId="0" applyNumberFormat="1" applyFont="1" applyFill="1" applyBorder="1" applyAlignment="1">
      <alignment horizontal="right" vertical="center"/>
    </xf>
    <xf numFmtId="0" fontId="20" fillId="14" borderId="0" xfId="0" applyNumberFormat="1" applyFont="1" applyFill="1" applyBorder="1" applyAlignment="1">
      <alignment horizontal="left" vertical="center"/>
    </xf>
    <xf numFmtId="165" fontId="29" fillId="11" borderId="0" xfId="0" applyNumberFormat="1" applyFont="1" applyFill="1" applyBorder="1" applyAlignment="1">
      <alignment horizontal="right" vertical="center"/>
    </xf>
    <xf numFmtId="0" fontId="30" fillId="14" borderId="0" xfId="0" applyFont="1" applyFill="1"/>
    <xf numFmtId="0" fontId="16" fillId="4" borderId="0" xfId="0" applyNumberFormat="1" applyFont="1" applyFill="1" applyBorder="1" applyAlignment="1">
      <alignment horizontal="left" vertical="center"/>
    </xf>
    <xf numFmtId="0" fontId="22" fillId="4" borderId="0" xfId="0" applyNumberFormat="1" applyFont="1" applyFill="1" applyBorder="1" applyAlignment="1">
      <alignment horizontal="left" vertical="center"/>
    </xf>
    <xf numFmtId="0" fontId="0" fillId="14" borderId="0" xfId="0" applyFill="1" applyBorder="1" applyAlignment="1">
      <alignment vertical="center"/>
    </xf>
    <xf numFmtId="0" fontId="6" fillId="14" borderId="2" xfId="1" applyFont="1" applyFill="1" applyBorder="1" applyAlignment="1">
      <alignment horizontal="left" indent="7"/>
    </xf>
    <xf numFmtId="0" fontId="5" fillId="14" borderId="2" xfId="1" applyFont="1" applyFill="1" applyBorder="1"/>
    <xf numFmtId="0" fontId="0" fillId="12" borderId="0" xfId="0" applyFill="1" applyBorder="1" applyAlignment="1">
      <alignment vertical="center"/>
    </xf>
    <xf numFmtId="0" fontId="0" fillId="4" borderId="0" xfId="0" applyFill="1" applyBorder="1"/>
    <xf numFmtId="0" fontId="19" fillId="11" borderId="4" xfId="0" applyNumberFormat="1" applyFont="1" applyFill="1" applyBorder="1" applyAlignment="1">
      <alignment horizontal="center" vertical="center"/>
    </xf>
    <xf numFmtId="0" fontId="29" fillId="11" borderId="0" xfId="0" applyNumberFormat="1" applyFont="1" applyFill="1" applyBorder="1" applyAlignment="1">
      <alignment horizontal="center" vertical="center"/>
    </xf>
    <xf numFmtId="3" fontId="29" fillId="11" borderId="0" xfId="0" applyNumberFormat="1" applyFont="1" applyFill="1" applyBorder="1" applyAlignment="1">
      <alignment horizontal="center" vertical="center"/>
    </xf>
    <xf numFmtId="0" fontId="31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indent="3"/>
    </xf>
    <xf numFmtId="0" fontId="34" fillId="4" borderId="0" xfId="0" applyNumberFormat="1" applyFont="1" applyFill="1" applyBorder="1" applyAlignment="1">
      <alignment horizontal="left" vertical="center"/>
    </xf>
    <xf numFmtId="0" fontId="10" fillId="11" borderId="3" xfId="0" applyFont="1" applyFill="1" applyBorder="1" applyAlignment="1">
      <alignment horizontal="left" vertical="top" indent="1"/>
    </xf>
    <xf numFmtId="0" fontId="10" fillId="11" borderId="3" xfId="0" applyNumberFormat="1" applyFont="1" applyFill="1" applyBorder="1" applyAlignment="1">
      <alignment horizontal="left" vertical="top" indent="1"/>
    </xf>
    <xf numFmtId="0" fontId="10" fillId="11" borderId="3" xfId="0" applyNumberFormat="1" applyFont="1" applyFill="1" applyBorder="1" applyAlignment="1">
      <alignment horizontal="center" vertical="top"/>
    </xf>
    <xf numFmtId="0" fontId="4" fillId="5" borderId="0" xfId="3" applyAlignment="1">
      <alignment horizontal="center"/>
    </xf>
    <xf numFmtId="0" fontId="27" fillId="13" borderId="0" xfId="0" applyNumberFormat="1" applyFont="1" applyFill="1" applyBorder="1" applyAlignment="1">
      <alignment horizontal="left" vertical="top" wrapText="1" indent="1"/>
    </xf>
    <xf numFmtId="0" fontId="22" fillId="10" borderId="0" xfId="0" applyNumberFormat="1" applyFont="1" applyFill="1" applyBorder="1" applyAlignment="1">
      <alignment horizontal="left" vertical="center"/>
    </xf>
    <xf numFmtId="0" fontId="28" fillId="11" borderId="0" xfId="0" applyNumberFormat="1" applyFont="1" applyFill="1" applyBorder="1" applyAlignment="1">
      <alignment horizontal="left" vertical="center" indent="1"/>
    </xf>
    <xf numFmtId="0" fontId="20" fillId="10" borderId="0" xfId="0" applyNumberFormat="1" applyFont="1" applyFill="1" applyBorder="1" applyAlignment="1">
      <alignment horizontal="left" vertical="center"/>
    </xf>
    <xf numFmtId="0" fontId="35" fillId="11" borderId="0" xfId="0" applyNumberFormat="1" applyFont="1" applyFill="1" applyBorder="1" applyAlignment="1">
      <alignment horizontal="center" vertical="center"/>
    </xf>
    <xf numFmtId="0" fontId="21" fillId="11" borderId="0" xfId="0" applyNumberFormat="1" applyFont="1" applyFill="1" applyBorder="1" applyAlignment="1">
      <alignment horizontal="center" vertical="center"/>
    </xf>
    <xf numFmtId="0" fontId="26" fillId="13" borderId="0" xfId="0" applyNumberFormat="1" applyFont="1" applyFill="1" applyBorder="1" applyAlignment="1">
      <alignment horizontal="left" vertical="center" indent="1"/>
    </xf>
    <xf numFmtId="0" fontId="38" fillId="11" borderId="0" xfId="0" applyFont="1" applyFill="1" applyAlignment="1">
      <alignment horizontal="center" vertical="top"/>
    </xf>
    <xf numFmtId="0" fontId="25" fillId="12" borderId="0" xfId="0" applyNumberFormat="1" applyFont="1" applyFill="1" applyBorder="1" applyAlignment="1">
      <alignment horizontal="left" vertical="center" indent="4"/>
    </xf>
    <xf numFmtId="0" fontId="20" fillId="12" borderId="0" xfId="0" applyNumberFormat="1" applyFont="1" applyFill="1" applyBorder="1" applyAlignment="1">
      <alignment horizontal="left" vertical="center" indent="3"/>
    </xf>
    <xf numFmtId="0" fontId="36" fillId="12" borderId="0" xfId="0" applyNumberFormat="1" applyFont="1" applyFill="1" applyBorder="1" applyAlignment="1">
      <alignment horizontal="left" vertical="center" indent="4"/>
    </xf>
    <xf numFmtId="0" fontId="37" fillId="12" borderId="0" xfId="0" applyNumberFormat="1" applyFont="1" applyFill="1" applyBorder="1" applyAlignment="1">
      <alignment horizontal="left" vertical="center" indent="3"/>
    </xf>
    <xf numFmtId="0" fontId="23" fillId="12" borderId="0" xfId="0" applyNumberFormat="1" applyFont="1" applyFill="1" applyBorder="1" applyAlignment="1">
      <alignment horizontal="left" vertical="center" indent="4"/>
    </xf>
    <xf numFmtId="0" fontId="24" fillId="12" borderId="0" xfId="0" applyNumberFormat="1" applyFont="1" applyFill="1" applyBorder="1" applyAlignment="1">
      <alignment horizontal="left" vertical="center" indent="3"/>
    </xf>
    <xf numFmtId="0" fontId="32" fillId="12" borderId="0" xfId="0" applyNumberFormat="1" applyFont="1" applyFill="1" applyBorder="1" applyAlignment="1">
      <alignment horizontal="left" vertical="top" indent="4"/>
    </xf>
    <xf numFmtId="0" fontId="33" fillId="12" borderId="0" xfId="0" applyNumberFormat="1" applyFont="1" applyFill="1" applyBorder="1" applyAlignment="1">
      <alignment horizontal="left" vertical="top" indent="3"/>
    </xf>
    <xf numFmtId="0" fontId="35" fillId="11" borderId="0" xfId="0" applyFont="1" applyFill="1" applyAlignment="1">
      <alignment horizontal="center" vertical="center"/>
    </xf>
    <xf numFmtId="0" fontId="38" fillId="14" borderId="0" xfId="0" applyFont="1" applyFill="1" applyAlignment="1">
      <alignment horizontal="center" vertical="top"/>
    </xf>
    <xf numFmtId="0" fontId="21" fillId="11" borderId="0" xfId="0" applyFont="1" applyFill="1" applyAlignment="1">
      <alignment horizontal="center" vertical="center"/>
    </xf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51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</font>
      <fill>
        <patternFill>
          <bgColor rgb="FFE8F5E9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font>
        <b/>
        <i val="0"/>
        <strike val="0"/>
        <sz val="11"/>
        <color theme="0"/>
        <name val="Segoe UI"/>
        <family val="2"/>
        <scheme val="none"/>
      </font>
      <border>
        <bottom style="thin">
          <color theme="9"/>
        </bottom>
        <vertical/>
        <horizontal/>
      </border>
    </dxf>
    <dxf>
      <font>
        <b val="0"/>
        <i val="0"/>
        <strike val="0"/>
        <sz val="12"/>
        <color theme="1"/>
        <name val="Segoe UI"/>
        <family val="2"/>
        <scheme val="none"/>
      </font>
      <fill>
        <patternFill>
          <bgColor rgb="FF16823E"/>
        </patternFill>
      </fill>
      <border>
        <left/>
        <right/>
        <top/>
        <bottom/>
        <vertical/>
        <horizontal/>
      </border>
    </dxf>
    <dxf>
      <font>
        <b/>
        <i val="0"/>
      </font>
    </dxf>
  </dxfs>
  <tableStyles count="2" defaultTableStyle="TableStyleMedium2" defaultPivotStyle="PivotStyleLight16">
    <tableStyle name="Estilo de Segmentação de Dados 1" pivot="0" table="0" count="1" xr9:uid="{9040A31C-C383-4DE3-9A6F-CD19E07D9D31}">
      <tableStyleElement type="wholeTable" dxfId="50"/>
    </tableStyle>
    <tableStyle name="SlicerStyleLight6 2" pivot="0" table="0" count="10" xr9:uid="{925B2D29-A97F-4287-B8CB-93212FBCA3F1}">
      <tableStyleElement type="wholeTable" dxfId="49"/>
      <tableStyleElement type="headerRow" dxfId="48"/>
    </tableStyle>
  </tableStyles>
  <colors>
    <mruColors>
      <color rgb="FF16823E"/>
      <color rgb="FFE8E6E9"/>
      <color rgb="FFCECECE"/>
      <color rgb="FF418629"/>
      <color rgb="FFC0F2AC"/>
      <color rgb="FF27D065"/>
      <color rgb="FFC7F5D9"/>
      <color rgb="FF92E69E"/>
      <color rgb="FFAEECB7"/>
      <color rgb="FF82D561"/>
    </mruColors>
  </colors>
  <extLst>
    <ext xmlns:x14="http://schemas.microsoft.com/office/spreadsheetml/2009/9/main" uri="{46F421CA-312F-682f-3DD2-61675219B42D}">
      <x14:dxfs count="8">
        <dxf>
          <font>
            <color rgb="FF16823E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9" tint="0.59999389629810485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gradientFill degree="90">
              <stop position="0">
                <color theme="0" tint="-0.1490218817712943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  <name val="Segoe UI"/>
            <family val="2"/>
          </font>
          <fill>
            <gradientFill degree="90">
              <stop position="0">
                <color theme="0"/>
              </stop>
              <stop position="0.5">
                <color theme="2" tint="-0.25098422193060094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  <scheme val="none"/>
          </font>
          <fill>
            <gradientFill degree="90">
              <stop position="0">
                <color theme="0"/>
              </stop>
              <stop position="0.5">
                <color theme="2" tint="-9.8025452436902985E-2"/>
              </stop>
              <stop position="1">
                <color theme="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  <scheme val="none"/>
          </font>
          <fill>
            <gradientFill degree="90">
              <stop position="0">
                <color theme="0"/>
              </stop>
              <stop position="1">
                <color theme="0" tint="-5.0965910824915313E-2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1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2" tint="-0.2509842219306009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gradientFill degree="90">
              <stop position="0">
                <color theme="0"/>
              </stop>
              <stop position="1">
                <color theme="0" tint="-5.0965910824915313E-2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16823E"/>
            <name val="Segoe UI"/>
            <family val="2"/>
          </font>
          <fill>
            <patternFill patternType="solid">
              <fgColor rgb="FFFFFFFF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[Xbox-Game-Pass-Subscription-Analysis.xlsx.xlsx]C̳álculos!Tbl_annual_total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AE6B1"/>
          </a:solidFill>
          <a:ln>
            <a:noFill/>
          </a:ln>
          <a:effectLst/>
        </c:spPr>
      </c:pivotFmt>
      <c:pivotFmt>
        <c:idx val="2"/>
        <c:spPr>
          <a:solidFill>
            <a:srgbClr val="2AE6B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AE6B1"/>
          </a:solidFill>
          <a:ln>
            <a:noFill/>
          </a:ln>
          <a:effectLst/>
        </c:spPr>
      </c:pivotFmt>
      <c:pivotFmt>
        <c:idx val="5"/>
        <c:spPr>
          <a:solidFill>
            <a:srgbClr val="2AE6B1"/>
          </a:solidFill>
          <a:ln>
            <a:noFill/>
          </a:ln>
          <a:effectLst/>
        </c:spPr>
      </c:pivotFmt>
      <c:pivotFmt>
        <c:idx val="6"/>
        <c:spPr>
          <a:solidFill>
            <a:srgbClr val="22C3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rgbClr val="22C3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rgbClr val="22C35D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ln>
                      <a:noFill/>
                    </a:ln>
                    <a:solidFill>
                      <a:srgbClr val="22C55E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>
                    <a:ln>
                      <a:noFill/>
                    </a:ln>
                    <a:solidFill>
                      <a:srgbClr val="22C55E"/>
                    </a:solidFill>
                  </a:rPr>
                  <a:pPr>
                    <a:defRPr sz="1050" b="1" i="0" u="none" strike="noStrike" kern="1200" baseline="0">
                      <a:ln>
                        <a:noFill/>
                      </a:ln>
                      <a:solidFill>
                        <a:srgbClr val="22C55E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ln>
                    <a:noFill/>
                  </a:ln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21D4DC49-A809-467D-B4A9-69F014CBDE41}" type="VALUE">
                  <a:rPr lang="en-US" sz="140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pPr>
                    <a:defRPr sz="100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fld id="{DDA9DBE5-CCAE-46DC-9EFB-8DD64F8BE440}" type="VALUE">
                  <a:rPr lang="en-US" sz="130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pPr>
                    <a:defRPr sz="130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cs typeface="Segoe UI" panose="020B0502040204020203" pitchFamily="34" charset="0"/>
                    </a:defRPr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7.5664226103837953E-2"/>
          <c:y val="0.19093787504867804"/>
          <c:w val="0.8808913597184479"/>
          <c:h val="0.703517875944430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8600-4695-A355-7C0AD097F4F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600-4695-A355-7C0AD097F4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1D4DC49-A809-467D-B4A9-69F014CBDE41}" type="VALUE">
                      <a:rPr lang="en-US" sz="1400">
                        <a:ln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600-4695-A355-7C0AD097F4FB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0" i="0" u="none" strike="noStrike" kern="1200" baseline="0">
                        <a:ln>
                          <a:noFill/>
                        </a:ln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Segoe UI" panose="020B0502040204020203" pitchFamily="34" charset="0"/>
                        <a:ea typeface="+mn-ea"/>
                        <a:cs typeface="Segoe UI" panose="020B0502040204020203" pitchFamily="34" charset="0"/>
                      </a:defRPr>
                    </a:pPr>
                    <a:fld id="{DDA9DBE5-CCAE-46DC-9EFB-8DD64F8BE440}" type="VALUE">
                      <a:rPr lang="en-US" sz="1300">
                        <a:ln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</a:rPr>
                      <a:pPr>
                        <a:defRPr sz="1300">
                          <a:ln>
                            <a:noFill/>
                          </a:ln>
                          <a:solidFill>
                            <a:schemeClr val="tx1">
                              <a:lumMod val="65000"/>
                              <a:lumOff val="35000"/>
                            </a:schemeClr>
                          </a:solidFill>
                          <a:latin typeface="Segoe UI" panose="020B0502040204020203" pitchFamily="34" charset="0"/>
                          <a:cs typeface="Segoe UI" panose="020B0502040204020203" pitchFamily="34" charset="0"/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ln>
                        <a:noFill/>
                      </a:ln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00-4695-A355-7C0AD097F4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C̳álculos!$B$21:$B$23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C̳álculos!$C$21:$C$23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00-4695-A355-7C0AD097F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24577551"/>
        <c:axId val="2024576591"/>
      </c:barChart>
      <c:catAx>
        <c:axId val="2024577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024576591"/>
        <c:crosses val="autoZero"/>
        <c:auto val="1"/>
        <c:lblAlgn val="ctr"/>
        <c:lblOffset val="100"/>
        <c:noMultiLvlLbl val="0"/>
      </c:catAx>
      <c:valAx>
        <c:axId val="2024576591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24577551"/>
        <c:crosses val="autoZero"/>
        <c:crossBetween val="between"/>
      </c:valAx>
      <c:spPr>
        <a:noFill/>
        <a:ln>
          <a:noFill/>
        </a:ln>
        <a:effectLst>
          <a:innerShdw blurRad="63500" dist="50800" dir="16200000">
            <a:prstClr val="black">
              <a:alpha val="50000"/>
            </a:prstClr>
          </a:innerShdw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[Xbox-Game-Pass-Subscription-Analysis.xlsx.xlsx]C̳álculos!Tabela dinâmica1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35D"/>
          </a:solidFill>
          <a:ln>
            <a:solidFill>
              <a:srgbClr val="22C35D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40000"/>
              <a:lumOff val="60000"/>
            </a:schemeClr>
          </a:solidFill>
          <a:ln>
            <a:solidFill>
              <a:srgbClr val="22C35D"/>
            </a:solidFill>
          </a:ln>
          <a:effectLst/>
        </c:spPr>
      </c:pivotFmt>
      <c:pivotFmt>
        <c:idx val="4"/>
        <c:spPr>
          <a:solidFill>
            <a:srgbClr val="22C35D"/>
          </a:solidFill>
          <a:ln>
            <a:solidFill>
              <a:srgbClr val="22C35D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22C55E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solidFill>
              <a:srgbClr val="22C35D"/>
            </a:solidFill>
          </a:ln>
          <a:effectLst/>
        </c:spPr>
      </c:pivotFmt>
      <c:pivotFmt>
        <c:idx val="6"/>
        <c:spPr>
          <a:solidFill>
            <a:srgbClr val="22C35D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</c:pivotFmt>
      <c:pivotFmt>
        <c:idx val="8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</c:pivotFmt>
    </c:pivotFmts>
    <c:plotArea>
      <c:layout>
        <c:manualLayout>
          <c:layoutTarget val="inner"/>
          <c:xMode val="edge"/>
          <c:yMode val="edge"/>
          <c:x val="0.10147713976082347"/>
          <c:y val="0.13757102234907581"/>
          <c:w val="0.89848689346480992"/>
          <c:h val="0.8286058319532676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C̳álculos!$C$55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35D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6CD6-48FF-AD4B-FA862D73748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6CD6-48FF-AD4B-FA862D737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C̳álculos!$B$56:$B$59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C̳álculos!$C$56:$C$59</c:f>
              <c:numCache>
                <c:formatCode>_("R$"* #,##0.00_);_("R$"* \(#,##0.00\);_("R$"* "-"??_);_(@_)</c:formatCode>
                <c:ptCount val="3"/>
                <c:pt idx="0">
                  <c:v>120</c:v>
                </c:pt>
                <c:pt idx="1">
                  <c:v>448</c:v>
                </c:pt>
                <c:pt idx="2">
                  <c:v>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D6-48FF-AD4B-FA862D737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7327103"/>
        <c:axId val="1577322303"/>
      </c:barChart>
      <c:catAx>
        <c:axId val="15773271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1577322303"/>
        <c:crosses val="autoZero"/>
        <c:auto val="1"/>
        <c:lblAlgn val="ctr"/>
        <c:lblOffset val="100"/>
        <c:noMultiLvlLbl val="0"/>
      </c:catAx>
      <c:valAx>
        <c:axId val="157732230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577327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5.png"/><Relationship Id="rId7" Type="http://schemas.openxmlformats.org/officeDocument/2006/relationships/image" Target="../media/image3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7.svg"/><Relationship Id="rId10" Type="http://schemas.openxmlformats.org/officeDocument/2006/relationships/hyperlink" Target="#'K&#819;PI &amp; Insights'!A1"/><Relationship Id="rId4" Type="http://schemas.openxmlformats.org/officeDocument/2006/relationships/image" Target="../media/image6.png"/><Relationship Id="rId9" Type="http://schemas.openxmlformats.org/officeDocument/2006/relationships/hyperlink" Target="#D&#819;ashboard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hyperlink" Target="#'K&#819;PI &amp; Insights'!A1"/><Relationship Id="rId1" Type="http://schemas.openxmlformats.org/officeDocument/2006/relationships/image" Target="../media/image2.png"/><Relationship Id="rId4" Type="http://schemas.openxmlformats.org/officeDocument/2006/relationships/hyperlink" Target="#D&#819;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8648" y="5283542"/>
          <a:ext cx="1553595" cy="731882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6</xdr:row>
      <xdr:rowOff>0</xdr:rowOff>
    </xdr:from>
    <xdr:to>
      <xdr:col>11</xdr:col>
      <xdr:colOff>304800</xdr:colOff>
      <xdr:row>7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36000</xdr:colOff>
      <xdr:row>12</xdr:row>
      <xdr:rowOff>52759</xdr:rowOff>
    </xdr:from>
    <xdr:to>
      <xdr:col>0</xdr:col>
      <xdr:colOff>1904810</xdr:colOff>
      <xdr:row>24</xdr:row>
      <xdr:rowOff>82066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 1">
              <a:extLst>
                <a:ext uri="{FF2B5EF4-FFF2-40B4-BE49-F238E27FC236}">
                  <a16:creationId xmlns:a16="http://schemas.microsoft.com/office/drawing/2014/main" id="{2E9BD88A-A10C-4AF6-897E-0FEAB9BE4E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000" y="2875068"/>
              <a:ext cx="1868810" cy="2218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oneCell">
    <xdr:from>
      <xdr:col>1</xdr:col>
      <xdr:colOff>90767</xdr:colOff>
      <xdr:row>0</xdr:row>
      <xdr:rowOff>208894</xdr:rowOff>
    </xdr:from>
    <xdr:to>
      <xdr:col>2</xdr:col>
      <xdr:colOff>417421</xdr:colOff>
      <xdr:row>2</xdr:row>
      <xdr:rowOff>163734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878CD42-276B-4A2B-ABEA-E43770904E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60816" y="208894"/>
          <a:ext cx="605434" cy="668626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</xdr:col>
      <xdr:colOff>23902</xdr:colOff>
      <xdr:row>6</xdr:row>
      <xdr:rowOff>150485</xdr:rowOff>
    </xdr:from>
    <xdr:to>
      <xdr:col>9</xdr:col>
      <xdr:colOff>509336</xdr:colOff>
      <xdr:row>14</xdr:row>
      <xdr:rowOff>140563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1D83791A-57C2-4F59-8360-06C65C44A5D7}"/>
            </a:ext>
          </a:extLst>
        </xdr:cNvPr>
        <xdr:cNvGrpSpPr/>
      </xdr:nvGrpSpPr>
      <xdr:grpSpPr>
        <a:xfrm>
          <a:off x="2276772" y="1906398"/>
          <a:ext cx="4737173" cy="1491991"/>
          <a:chOff x="2122871" y="969443"/>
          <a:chExt cx="4716767" cy="1458993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39D8B684-73AE-4D6B-F514-0AFEB63E072B}"/>
              </a:ext>
            </a:extLst>
          </xdr:cNvPr>
          <xdr:cNvGrpSpPr/>
        </xdr:nvGrpSpPr>
        <xdr:grpSpPr>
          <a:xfrm>
            <a:off x="2122871" y="969443"/>
            <a:ext cx="4716767" cy="1382614"/>
            <a:chOff x="2223861" y="1107154"/>
            <a:chExt cx="4561518" cy="1382614"/>
          </a:xfrm>
        </xdr:grpSpPr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id="{5D98B80E-2DCB-B6C5-772E-C78771EFD716}"/>
                </a:ext>
              </a:extLst>
            </xdr:cNvPr>
            <xdr:cNvSpPr/>
          </xdr:nvSpPr>
          <xdr:spPr>
            <a:xfrm>
              <a:off x="2223862" y="1111540"/>
              <a:ext cx="4557445" cy="1378228"/>
            </a:xfrm>
            <a:prstGeom prst="roundRect">
              <a:avLst>
                <a:gd name="adj" fmla="val 442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9" name="Retângulo: Cantos Superiores Arredondados 8">
              <a:extLst>
                <a:ext uri="{FF2B5EF4-FFF2-40B4-BE49-F238E27FC236}">
                  <a16:creationId xmlns:a16="http://schemas.microsoft.com/office/drawing/2014/main" id="{AF9C126C-7A1A-9CFE-1F14-B43AA322DAF7}"/>
                </a:ext>
              </a:extLst>
            </xdr:cNvPr>
            <xdr:cNvSpPr/>
          </xdr:nvSpPr>
          <xdr:spPr>
            <a:xfrm>
              <a:off x="2223861" y="1107154"/>
              <a:ext cx="4561518" cy="390200"/>
            </a:xfrm>
            <a:prstGeom prst="round2SameRect">
              <a:avLst/>
            </a:prstGeom>
            <a:solidFill>
              <a:srgbClr val="16823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300" b="1">
                  <a:latin typeface="Segoe UI" panose="020B0502040204020203" pitchFamily="34" charset="0"/>
                  <a:cs typeface="Segoe UI" panose="020B0502040204020203" pitchFamily="34" charset="0"/>
                </a:rPr>
                <a:t>REVENUE EA PLAY SEASON PASS</a:t>
              </a:r>
            </a:p>
          </xdr:txBody>
        </xdr:sp>
      </xdr:grpSp>
      <xdr:pic>
        <xdr:nvPicPr>
          <xdr:cNvPr id="6" name="Imagem 5">
            <a:extLst>
              <a:ext uri="{FF2B5EF4-FFF2-40B4-BE49-F238E27FC236}">
                <a16:creationId xmlns:a16="http://schemas.microsoft.com/office/drawing/2014/main" id="{4DDC7000-C717-34AC-E955-A380A6CDDCB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17664" y="1278250"/>
            <a:ext cx="1204422" cy="1150186"/>
          </a:xfrm>
          <a:prstGeom prst="rect">
            <a:avLst/>
          </a:prstGeom>
        </xdr:spPr>
      </xdr:pic>
      <xdr:sp macro="" textlink="C̳álculos!D35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57D42D01-D042-1020-7D1F-1C9FE4660EE7}"/>
              </a:ext>
            </a:extLst>
          </xdr:cNvPr>
          <xdr:cNvSpPr/>
        </xdr:nvSpPr>
        <xdr:spPr>
          <a:xfrm>
            <a:off x="3574101" y="1366429"/>
            <a:ext cx="3113271" cy="973829"/>
          </a:xfrm>
          <a:prstGeom prst="roundRect">
            <a:avLst>
              <a:gd name="adj" fmla="val 442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E280CE6-6918-4C66-A1C0-1806CB85D3D8}" type="TxLink">
              <a:rPr lang="en-US" sz="3600" b="0" i="0" u="none" strike="noStrike">
                <a:ln>
                  <a:solidFill>
                    <a:srgbClr val="16823E"/>
                  </a:solidFill>
                </a:ln>
                <a:solidFill>
                  <a:srgbClr val="16823E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R$ 600,00</a:t>
            </a:fld>
            <a:endParaRPr lang="pt-BR" sz="3600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10</xdr:col>
      <xdr:colOff>592260</xdr:colOff>
      <xdr:row>6</xdr:row>
      <xdr:rowOff>150485</xdr:rowOff>
    </xdr:from>
    <xdr:to>
      <xdr:col>19</xdr:col>
      <xdr:colOff>2038</xdr:colOff>
      <xdr:row>14</xdr:row>
      <xdr:rowOff>64570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C07A806-D99C-4C66-F40B-17BF7F853326}"/>
            </a:ext>
          </a:extLst>
        </xdr:cNvPr>
        <xdr:cNvGrpSpPr/>
      </xdr:nvGrpSpPr>
      <xdr:grpSpPr>
        <a:xfrm>
          <a:off x="7704260" y="1906398"/>
          <a:ext cx="4732735" cy="1415998"/>
          <a:chOff x="2122871" y="969443"/>
          <a:chExt cx="4716767" cy="1382614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grpSp>
        <xdr:nvGrpSpPr>
          <xdr:cNvPr id="15" name="Agrupar 14">
            <a:extLst>
              <a:ext uri="{FF2B5EF4-FFF2-40B4-BE49-F238E27FC236}">
                <a16:creationId xmlns:a16="http://schemas.microsoft.com/office/drawing/2014/main" id="{67391466-7247-6914-1861-9666A72F8754}"/>
              </a:ext>
            </a:extLst>
          </xdr:cNvPr>
          <xdr:cNvGrpSpPr/>
        </xdr:nvGrpSpPr>
        <xdr:grpSpPr>
          <a:xfrm>
            <a:off x="2122871" y="969443"/>
            <a:ext cx="4716767" cy="1382614"/>
            <a:chOff x="2223861" y="1107154"/>
            <a:chExt cx="4561518" cy="1382614"/>
          </a:xfrm>
        </xdr:grpSpPr>
        <xdr:sp macro="" textlink="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58170FC1-329C-2DD5-B92D-5897C8A10ABA}"/>
                </a:ext>
              </a:extLst>
            </xdr:cNvPr>
            <xdr:cNvSpPr/>
          </xdr:nvSpPr>
          <xdr:spPr>
            <a:xfrm>
              <a:off x="2223862" y="1111540"/>
              <a:ext cx="4557445" cy="1378228"/>
            </a:xfrm>
            <a:prstGeom prst="roundRect">
              <a:avLst>
                <a:gd name="adj" fmla="val 442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18" name="Retângulo: Cantos Superiores Arredondados 17">
              <a:extLst>
                <a:ext uri="{FF2B5EF4-FFF2-40B4-BE49-F238E27FC236}">
                  <a16:creationId xmlns:a16="http://schemas.microsoft.com/office/drawing/2014/main" id="{3ABD2407-0667-7046-6AB3-4A8C6978E49E}"/>
                </a:ext>
              </a:extLst>
            </xdr:cNvPr>
            <xdr:cNvSpPr/>
          </xdr:nvSpPr>
          <xdr:spPr>
            <a:xfrm>
              <a:off x="2223861" y="1107154"/>
              <a:ext cx="4561518" cy="390200"/>
            </a:xfrm>
            <a:prstGeom prst="round2SameRect">
              <a:avLst/>
            </a:prstGeom>
            <a:solidFill>
              <a:srgbClr val="16823E"/>
            </a:solidFill>
            <a:ln>
              <a:noFill/>
            </a:ln>
            <a:effectLst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300" b="1">
                  <a:latin typeface="Segoe UI" panose="020B0502040204020203" pitchFamily="34" charset="0"/>
                  <a:cs typeface="Segoe UI" panose="020B0502040204020203" pitchFamily="34" charset="0"/>
                </a:rPr>
                <a:t>REVENUE MINECRAFT SEASON PASS</a:t>
              </a:r>
            </a:p>
          </xdr:txBody>
        </xdr:sp>
      </xdr:grpSp>
      <xdr:sp macro="" textlink="C̳álculos!D47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6BE256AC-A615-892F-29C4-F74BE63B7DC9}"/>
              </a:ext>
            </a:extLst>
          </xdr:cNvPr>
          <xdr:cNvSpPr/>
        </xdr:nvSpPr>
        <xdr:spPr>
          <a:xfrm>
            <a:off x="3574101" y="1366429"/>
            <a:ext cx="3113271" cy="973829"/>
          </a:xfrm>
          <a:prstGeom prst="roundRect">
            <a:avLst>
              <a:gd name="adj" fmla="val 442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B510A64-3999-4DB2-BC6D-FB6B975CA993}" type="TxLink">
              <a:rPr lang="en-US" sz="3600" b="0" i="0" u="none" strike="noStrike">
                <a:ln>
                  <a:solidFill>
                    <a:srgbClr val="16823E"/>
                  </a:solidFill>
                </a:ln>
                <a:solidFill>
                  <a:srgbClr val="16823E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R$ 940,00</a:t>
            </a:fld>
            <a:endParaRPr lang="pt-BR" sz="3600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11</xdr:col>
      <xdr:colOff>205220</xdr:colOff>
      <xdr:row>9</xdr:row>
      <xdr:rowOff>94951</xdr:rowOff>
    </xdr:from>
    <xdr:to>
      <xdr:col>13</xdr:col>
      <xdr:colOff>380565</xdr:colOff>
      <xdr:row>13</xdr:row>
      <xdr:rowOff>49525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A38077CE-41EF-9FB6-AA4D-57BB33457377}"/>
            </a:ext>
          </a:extLst>
        </xdr:cNvPr>
        <xdr:cNvGrpSpPr/>
      </xdr:nvGrpSpPr>
      <xdr:grpSpPr>
        <a:xfrm>
          <a:off x="7924611" y="2414081"/>
          <a:ext cx="1235519" cy="705531"/>
          <a:chOff x="3495675" y="5400674"/>
          <a:chExt cx="1549476" cy="752476"/>
        </a:xfrm>
      </xdr:grpSpPr>
      <xdr:pic>
        <xdr:nvPicPr>
          <xdr:cNvPr id="13" name="Imagem 12">
            <a:extLst>
              <a:ext uri="{FF2B5EF4-FFF2-40B4-BE49-F238E27FC236}">
                <a16:creationId xmlns:a16="http://schemas.microsoft.com/office/drawing/2014/main" id="{AAF70593-CF99-E1BE-801A-DDD306E6093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D60FC13D-3C2A-3DE9-68A5-CE2F66A9E4C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17498</xdr:colOff>
      <xdr:row>28</xdr:row>
      <xdr:rowOff>27151</xdr:rowOff>
    </xdr:from>
    <xdr:to>
      <xdr:col>19</xdr:col>
      <xdr:colOff>9645</xdr:colOff>
      <xdr:row>44</xdr:row>
      <xdr:rowOff>139522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DFE9682C-3213-D361-0293-FA898F072B81}"/>
            </a:ext>
          </a:extLst>
        </xdr:cNvPr>
        <xdr:cNvGrpSpPr/>
      </xdr:nvGrpSpPr>
      <xdr:grpSpPr>
        <a:xfrm>
          <a:off x="2270368" y="5913325"/>
          <a:ext cx="10174234" cy="3116197"/>
          <a:chOff x="2265484" y="3811872"/>
          <a:chExt cx="10190161" cy="3166564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sp macro="" textlink="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270D8D9-BBB8-6191-B89D-4B8F9646ABB1}"/>
              </a:ext>
            </a:extLst>
          </xdr:cNvPr>
          <xdr:cNvSpPr/>
        </xdr:nvSpPr>
        <xdr:spPr>
          <a:xfrm>
            <a:off x="2275738" y="3815520"/>
            <a:ext cx="10179907" cy="3162916"/>
          </a:xfrm>
          <a:prstGeom prst="roundRect">
            <a:avLst>
              <a:gd name="adj" fmla="val 2615"/>
            </a:avLst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>
              <a:ln>
                <a:noFill/>
              </a:ln>
              <a:solidFill>
                <a:schemeClr val="bg1"/>
              </a:solidFill>
            </a:endParaRPr>
          </a:p>
        </xdr:txBody>
      </xdr:sp>
      <xdr:graphicFrame macro="">
        <xdr:nvGraphicFramePr>
          <xdr:cNvPr id="21" name="Gráfico 20">
            <a:extLst>
              <a:ext uri="{FF2B5EF4-FFF2-40B4-BE49-F238E27FC236}">
                <a16:creationId xmlns:a16="http://schemas.microsoft.com/office/drawing/2014/main" id="{C4DFB60B-90BE-7661-7116-4B458FB88EA0}"/>
              </a:ext>
            </a:extLst>
          </xdr:cNvPr>
          <xdr:cNvGraphicFramePr>
            <a:graphicFrameLocks/>
          </xdr:cNvGraphicFramePr>
        </xdr:nvGraphicFramePr>
        <xdr:xfrm>
          <a:off x="2372342" y="4245696"/>
          <a:ext cx="9970233" cy="256467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22" name="Retângulo: Cantos Superiores Arredondados 21">
            <a:extLst>
              <a:ext uri="{FF2B5EF4-FFF2-40B4-BE49-F238E27FC236}">
                <a16:creationId xmlns:a16="http://schemas.microsoft.com/office/drawing/2014/main" id="{6A780A20-9A9C-CABF-225B-411BEDDEC6C8}"/>
              </a:ext>
            </a:extLst>
          </xdr:cNvPr>
          <xdr:cNvSpPr/>
        </xdr:nvSpPr>
        <xdr:spPr>
          <a:xfrm>
            <a:off x="2265484" y="3811872"/>
            <a:ext cx="10179512" cy="322888"/>
          </a:xfrm>
          <a:prstGeom prst="round2SameRect">
            <a:avLst/>
          </a:prstGeom>
          <a:solidFill>
            <a:srgbClr val="16823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300" b="1">
                <a:latin typeface="Segoe UI" panose="020B0502040204020203" pitchFamily="34" charset="0"/>
                <a:cs typeface="Segoe UI" panose="020B0502040204020203" pitchFamily="34" charset="0"/>
              </a:rPr>
              <a:t>REVENUE BY AUTO RENEWAL</a:t>
            </a:r>
          </a:p>
        </xdr:txBody>
      </xdr:sp>
    </xdr:grpSp>
    <xdr:clientData/>
  </xdr:twoCellAnchor>
  <xdr:twoCellAnchor editAs="oneCell">
    <xdr:from>
      <xdr:col>0</xdr:col>
      <xdr:colOff>535410</xdr:colOff>
      <xdr:row>1</xdr:row>
      <xdr:rowOff>65315</xdr:rowOff>
    </xdr:from>
    <xdr:to>
      <xdr:col>0</xdr:col>
      <xdr:colOff>1347304</xdr:colOff>
      <xdr:row>3</xdr:row>
      <xdr:rowOff>1216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CF2B0CA6-699C-4AED-8017-9292D83E3E97}"/>
            </a:ext>
          </a:extLst>
        </xdr:cNvPr>
        <xdr:cNvSpPr/>
      </xdr:nvSpPr>
      <xdr:spPr>
        <a:xfrm>
          <a:off x="535410" y="352445"/>
          <a:ext cx="811894" cy="790929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0</xdr:col>
      <xdr:colOff>20320</xdr:colOff>
      <xdr:row>5</xdr:row>
      <xdr:rowOff>17156</xdr:rowOff>
    </xdr:from>
    <xdr:to>
      <xdr:col>0</xdr:col>
      <xdr:colOff>1926490</xdr:colOff>
      <xdr:row>7</xdr:row>
      <xdr:rowOff>164886</xdr:rowOff>
    </xdr:to>
    <xdr:sp macro="" textlink="">
      <xdr:nvSpPr>
        <xdr:cNvPr id="24" name="Retângulo 23">
          <a:extLst>
            <a:ext uri="{FF2B5EF4-FFF2-40B4-BE49-F238E27FC236}">
              <a16:creationId xmlns:a16="http://schemas.microsoft.com/office/drawing/2014/main" id="{E03C9EDB-8531-4E98-A423-89025BA1FB48}"/>
            </a:ext>
          </a:extLst>
        </xdr:cNvPr>
        <xdr:cNvSpPr/>
      </xdr:nvSpPr>
      <xdr:spPr>
        <a:xfrm>
          <a:off x="20320" y="1398916"/>
          <a:ext cx="1906170" cy="43750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8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→</a:t>
          </a:r>
          <a:r>
            <a:rPr lang="pt-BR" sz="14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4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Bem</a:t>
          </a:r>
          <a:r>
            <a:rPr lang="pt-BR" sz="14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vinda, Liana</a:t>
          </a:r>
          <a:endParaRPr lang="pt-BR" sz="14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92927</xdr:colOff>
      <xdr:row>3</xdr:row>
      <xdr:rowOff>1</xdr:rowOff>
    </xdr:from>
    <xdr:to>
      <xdr:col>12</xdr:col>
      <xdr:colOff>56028</xdr:colOff>
      <xdr:row>3</xdr:row>
      <xdr:rowOff>249686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1EBCC460-4197-46F6-BDC1-DE5A6EB22598}"/>
            </a:ext>
          </a:extLst>
        </xdr:cNvPr>
        <xdr:cNvSpPr/>
      </xdr:nvSpPr>
      <xdr:spPr>
        <a:xfrm>
          <a:off x="2061427" y="1003301"/>
          <a:ext cx="6160701" cy="24503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pt-BR" sz="1300" b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Calculation period</a:t>
          </a:r>
          <a:r>
            <a:rPr lang="pt-BR" sz="1300" b="0" baseline="0">
              <a:solidFill>
                <a:schemeClr val="tx1">
                  <a:lumMod val="75000"/>
                  <a:lumOff val="25000"/>
                </a:schemeClr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: 01/01/2024 - 31/12/2024 | Updated: 29/09/2025  09:00</a:t>
          </a:r>
          <a:endParaRPr lang="pt-BR" sz="1300">
            <a:solidFill>
              <a:schemeClr val="tx1">
                <a:lumMod val="75000"/>
                <a:lumOff val="25000"/>
              </a:schemeClr>
            </a:solidFill>
            <a:effectLst/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</xdr:col>
      <xdr:colOff>20319</xdr:colOff>
      <xdr:row>47</xdr:row>
      <xdr:rowOff>152498</xdr:rowOff>
    </xdr:from>
    <xdr:to>
      <xdr:col>19</xdr:col>
      <xdr:colOff>9421</xdr:colOff>
      <xdr:row>65</xdr:row>
      <xdr:rowOff>10733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8CD97204-6AB2-D79F-D18D-8E36899CF029}"/>
            </a:ext>
          </a:extLst>
        </xdr:cNvPr>
        <xdr:cNvGrpSpPr/>
      </xdr:nvGrpSpPr>
      <xdr:grpSpPr>
        <a:xfrm>
          <a:off x="2273189" y="9605715"/>
          <a:ext cx="10171189" cy="3237540"/>
          <a:chOff x="2268219" y="7493098"/>
          <a:chExt cx="10187202" cy="3330431"/>
        </a:xfrm>
        <a:effectLst>
          <a:outerShdw blurRad="50800" dist="38100" dir="18900000" algn="bl" rotWithShape="0">
            <a:prstClr val="black">
              <a:alpha val="40000"/>
            </a:prstClr>
          </a:outerShdw>
        </a:effectLst>
      </xdr:grpSpPr>
      <xdr:sp macro="" textlink="">
        <xdr:nvSpPr>
          <xdr:cNvPr id="27" name="Retângulo: Cantos Arredondados 26">
            <a:extLst>
              <a:ext uri="{FF2B5EF4-FFF2-40B4-BE49-F238E27FC236}">
                <a16:creationId xmlns:a16="http://schemas.microsoft.com/office/drawing/2014/main" id="{CE72B626-89F5-6B2F-C0F1-D4427262D074}"/>
              </a:ext>
            </a:extLst>
          </xdr:cNvPr>
          <xdr:cNvSpPr/>
        </xdr:nvSpPr>
        <xdr:spPr>
          <a:xfrm>
            <a:off x="2273995" y="7495683"/>
            <a:ext cx="10181426" cy="3276802"/>
          </a:xfrm>
          <a:prstGeom prst="roundRect">
            <a:avLst>
              <a:gd name="adj" fmla="val 2615"/>
            </a:avLst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>
              <a:ln>
                <a:noFill/>
              </a:ln>
              <a:solidFill>
                <a:schemeClr val="bg1"/>
              </a:solidFill>
            </a:endParaRPr>
          </a:p>
        </xdr:txBody>
      </xdr:sp>
      <xdr:graphicFrame macro="">
        <xdr:nvGraphicFramePr>
          <xdr:cNvPr id="28" name="Gráfico 27">
            <a:extLst>
              <a:ext uri="{FF2B5EF4-FFF2-40B4-BE49-F238E27FC236}">
                <a16:creationId xmlns:a16="http://schemas.microsoft.com/office/drawing/2014/main" id="{C462B7AE-BCF9-CAD0-FA51-14947CFA4CDB}"/>
              </a:ext>
            </a:extLst>
          </xdr:cNvPr>
          <xdr:cNvGraphicFramePr>
            <a:graphicFrameLocks/>
          </xdr:cNvGraphicFramePr>
        </xdr:nvGraphicFramePr>
        <xdr:xfrm>
          <a:off x="2268219" y="7818841"/>
          <a:ext cx="10056864" cy="3004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29" name="Retângulo: Cantos Superiores Arredondados 28">
            <a:extLst>
              <a:ext uri="{FF2B5EF4-FFF2-40B4-BE49-F238E27FC236}">
                <a16:creationId xmlns:a16="http://schemas.microsoft.com/office/drawing/2014/main" id="{EBACED2A-E578-8CB0-3BCC-8F0A6D0C2A8A}"/>
              </a:ext>
            </a:extLst>
          </xdr:cNvPr>
          <xdr:cNvSpPr/>
        </xdr:nvSpPr>
        <xdr:spPr>
          <a:xfrm>
            <a:off x="2268495" y="7493098"/>
            <a:ext cx="10186361" cy="322729"/>
          </a:xfrm>
          <a:prstGeom prst="round2SameRect">
            <a:avLst/>
          </a:prstGeom>
          <a:solidFill>
            <a:srgbClr val="16823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300" b="1">
                <a:latin typeface="Segoe UI" panose="020B0502040204020203" pitchFamily="34" charset="0"/>
                <a:cs typeface="Segoe UI" panose="020B0502040204020203" pitchFamily="34" charset="0"/>
              </a:rPr>
              <a:t>REVENUE BY PLAN</a:t>
            </a:r>
          </a:p>
        </xdr:txBody>
      </xdr:sp>
    </xdr:grpSp>
    <xdr:clientData/>
  </xdr:twoCellAnchor>
  <xdr:twoCellAnchor editAs="oneCell">
    <xdr:from>
      <xdr:col>2</xdr:col>
      <xdr:colOff>23904</xdr:colOff>
      <xdr:row>18</xdr:row>
      <xdr:rowOff>236</xdr:rowOff>
    </xdr:from>
    <xdr:to>
      <xdr:col>18</xdr:col>
      <xdr:colOff>602637</xdr:colOff>
      <xdr:row>24</xdr:row>
      <xdr:rowOff>77306</xdr:rowOff>
    </xdr:to>
    <xdr:sp macro="" textlink="">
      <xdr:nvSpPr>
        <xdr:cNvPr id="203" name="Retângulo: Cantos Arredondados 7">
          <a:extLst>
            <a:ext uri="{FF2B5EF4-FFF2-40B4-BE49-F238E27FC236}">
              <a16:creationId xmlns:a16="http://schemas.microsoft.com/office/drawing/2014/main" id="{00000000-0008-0000-0300-0000CB000000}"/>
            </a:ext>
          </a:extLst>
        </xdr:cNvPr>
        <xdr:cNvSpPr/>
      </xdr:nvSpPr>
      <xdr:spPr>
        <a:xfrm>
          <a:off x="2276774" y="4020062"/>
          <a:ext cx="10142385" cy="1203504"/>
        </a:xfrm>
        <a:prstGeom prst="roundRect">
          <a:avLst>
            <a:gd name="adj" fmla="val 4422"/>
          </a:avLst>
        </a:prstGeom>
        <a:solidFill>
          <a:schemeClr val="bg1"/>
        </a:solidFill>
        <a:ln>
          <a:noFill/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23902</xdr:colOff>
      <xdr:row>17</xdr:row>
      <xdr:rowOff>150485</xdr:rowOff>
    </xdr:from>
    <xdr:to>
      <xdr:col>18</xdr:col>
      <xdr:colOff>611746</xdr:colOff>
      <xdr:row>19</xdr:row>
      <xdr:rowOff>173293</xdr:rowOff>
    </xdr:to>
    <xdr:sp macro="" textlink="">
      <xdr:nvSpPr>
        <xdr:cNvPr id="204" name="Retângulo: Cantos Superiores Arredondados 8">
          <a:extLst>
            <a:ext uri="{FF2B5EF4-FFF2-40B4-BE49-F238E27FC236}">
              <a16:creationId xmlns:a16="http://schemas.microsoft.com/office/drawing/2014/main" id="{00000000-0008-0000-0300-0000CC000000}"/>
            </a:ext>
          </a:extLst>
        </xdr:cNvPr>
        <xdr:cNvSpPr/>
      </xdr:nvSpPr>
      <xdr:spPr>
        <a:xfrm>
          <a:off x="2266972" y="3896091"/>
          <a:ext cx="10204070" cy="387710"/>
        </a:xfrm>
        <a:prstGeom prst="round2SameRect">
          <a:avLst/>
        </a:prstGeom>
        <a:solidFill>
          <a:srgbClr val="16823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300" b="1">
              <a:latin typeface="Segoe UI" panose="020B0502040204020203" pitchFamily="34" charset="0"/>
              <a:cs typeface="Segoe UI" panose="020B0502040204020203" pitchFamily="34" charset="0"/>
            </a:rPr>
            <a:t>                             AVERAGE TICKET                                                                                           TOP PLAN</a:t>
          </a:r>
          <a:endParaRPr lang="pt-BR" sz="1300" b="1">
            <a:effectLst/>
            <a:latin typeface="Segoe UI" panose="020B0502040204020203" pitchFamily="34" charset="0"/>
            <a:cs typeface="Segoe UI" panose="020B0502040204020203" pitchFamily="34" charset="0"/>
          </a:endParaRPr>
        </a:p>
        <a:p>
          <a:pPr algn="l"/>
          <a:endParaRPr lang="pt-BR" sz="1300" b="1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2</xdr:col>
      <xdr:colOff>545690</xdr:colOff>
      <xdr:row>19</xdr:row>
      <xdr:rowOff>118753</xdr:rowOff>
    </xdr:from>
    <xdr:to>
      <xdr:col>7</xdr:col>
      <xdr:colOff>561587</xdr:colOff>
      <xdr:row>24</xdr:row>
      <xdr:rowOff>85091</xdr:rowOff>
    </xdr:to>
    <xdr:sp macro="" textlink="C̳álculos!$J$14">
      <xdr:nvSpPr>
        <xdr:cNvPr id="205" name="Retângulo: Cantos Arredondados 6">
          <a:extLst>
            <a:ext uri="{FF2B5EF4-FFF2-40B4-BE49-F238E27FC236}">
              <a16:creationId xmlns:a16="http://schemas.microsoft.com/office/drawing/2014/main" id="{00000000-0008-0000-0300-0000CD000000}"/>
            </a:ext>
          </a:extLst>
        </xdr:cNvPr>
        <xdr:cNvSpPr/>
      </xdr:nvSpPr>
      <xdr:spPr>
        <a:xfrm>
          <a:off x="2798560" y="4326318"/>
          <a:ext cx="3052853" cy="905033"/>
        </a:xfrm>
        <a:prstGeom prst="roundRect">
          <a:avLst>
            <a:gd name="adj" fmla="val 442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E280CE6-6918-4C66-A1C0-1806CB85D205}" type="TxLink">
            <a:rPr lang="en-US" sz="3200" b="0" i="0" u="none" strike="noStrike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R$ 24,70</a:t>
          </a:fld>
          <a:endParaRPr lang="pt-BR" sz="3200">
            <a:ln>
              <a:solidFill>
                <a:srgbClr val="16823E"/>
              </a:solidFill>
            </a:ln>
            <a:solidFill>
              <a:srgbClr val="16823E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9</xdr:col>
      <xdr:colOff>496958</xdr:colOff>
      <xdr:row>19</xdr:row>
      <xdr:rowOff>96636</xdr:rowOff>
    </xdr:from>
    <xdr:to>
      <xdr:col>18</xdr:col>
      <xdr:colOff>324189</xdr:colOff>
      <xdr:row>24</xdr:row>
      <xdr:rowOff>151927</xdr:rowOff>
    </xdr:to>
    <xdr:sp macro="" textlink="C̳álculos!$J$15">
      <xdr:nvSpPr>
        <xdr:cNvPr id="211" name="Retângulo: Cantos Arredondados 15">
          <a:extLst>
            <a:ext uri="{FF2B5EF4-FFF2-40B4-BE49-F238E27FC236}">
              <a16:creationId xmlns:a16="http://schemas.microsoft.com/office/drawing/2014/main" id="{00000000-0008-0000-0300-0000D3000000}"/>
            </a:ext>
          </a:extLst>
        </xdr:cNvPr>
        <xdr:cNvSpPr/>
      </xdr:nvSpPr>
      <xdr:spPr>
        <a:xfrm>
          <a:off x="7001567" y="4293158"/>
          <a:ext cx="5139144" cy="993986"/>
        </a:xfrm>
        <a:prstGeom prst="roundRect">
          <a:avLst>
            <a:gd name="adj" fmla="val 442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E280CE6-6918-4C66-A1C0-1806CB85D212}" type="TxLink">
            <a:rPr lang="en-US" sz="2400" b="0" i="0" u="none" strike="noStrike">
              <a:ln>
                <a:solidFill>
                  <a:srgbClr val="16823E"/>
                </a:solidFill>
              </a:ln>
              <a:solidFill>
                <a:srgbClr val="16823E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ULTIMATE - R$ 1.186,00 - 67,62%</a:t>
          </a:fld>
          <a:endParaRPr lang="pt-BR" sz="2400">
            <a:ln>
              <a:solidFill>
                <a:srgbClr val="16823E"/>
              </a:solidFill>
            </a:ln>
            <a:solidFill>
              <a:srgbClr val="16823E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427759</xdr:colOff>
          <xdr:row>19</xdr:row>
          <xdr:rowOff>20520</xdr:rowOff>
        </xdr:from>
        <xdr:to>
          <xdr:col>22</xdr:col>
          <xdr:colOff>448271</xdr:colOff>
          <xdr:row>22</xdr:row>
          <xdr:rowOff>157620</xdr:rowOff>
        </xdr:to>
        <xdr:grpSp>
          <xdr:nvGrpSpPr>
            <xdr:cNvPr id="212" name="Agrupar 11">
              <a:extLst>
                <a:ext uri="{FF2B5EF4-FFF2-40B4-BE49-F238E27FC236}">
                  <a16:creationId xmlns:a16="http://schemas.microsoft.com/office/drawing/2014/main" id="{00000000-0008-0000-0300-0000D4000000}"/>
                </a:ext>
              </a:extLst>
            </xdr:cNvPr>
            <xdr:cNvGrpSpPr/>
          </xdr:nvGrpSpPr>
          <xdr:grpSpPr>
            <a:xfrm>
              <a:off x="13470107" y="4217042"/>
              <a:ext cx="1235294" cy="700317"/>
              <a:chOff x="3495675" y="5400674"/>
              <a:chExt cx="1549476" cy="752476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110434</xdr:colOff>
      <xdr:row>29</xdr:row>
      <xdr:rowOff>110436</xdr:rowOff>
    </xdr:from>
    <xdr:to>
      <xdr:col>0</xdr:col>
      <xdr:colOff>1800087</xdr:colOff>
      <xdr:row>32</xdr:row>
      <xdr:rowOff>1</xdr:rowOff>
    </xdr:to>
    <xdr:sp macro="" textlink="">
      <xdr:nvSpPr>
        <xdr:cNvPr id="19" name="Retângulo: Cantos Arredondados 1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B59686B3-7A2D-4623-9013-F1018A63E742}"/>
            </a:ext>
          </a:extLst>
        </xdr:cNvPr>
        <xdr:cNvSpPr/>
      </xdr:nvSpPr>
      <xdr:spPr>
        <a:xfrm>
          <a:off x="110434" y="6184349"/>
          <a:ext cx="1689653" cy="452782"/>
        </a:xfrm>
        <a:prstGeom prst="roundRect">
          <a:avLst>
            <a:gd name="adj" fmla="val 5378"/>
          </a:avLst>
        </a:prstGeom>
        <a:gradFill>
          <a:gsLst>
            <a:gs pos="0">
              <a:schemeClr val="bg1">
                <a:lumMod val="75000"/>
              </a:schemeClr>
            </a:gs>
            <a:gs pos="50000">
              <a:schemeClr val="bg1">
                <a:lumMod val="85000"/>
              </a:schemeClr>
            </a:gs>
            <a:gs pos="100000">
              <a:schemeClr val="bg1"/>
            </a:gs>
          </a:gsLst>
          <a:lin ang="16200000" scaled="1"/>
        </a:gradFill>
        <a:ln>
          <a:noFill/>
        </a:ln>
        <a:effectLst>
          <a:outerShdw blurRad="50800" dist="889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bg2">
                  <a:lumMod val="2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     Dashboard</a:t>
          </a:r>
          <a:endParaRPr lang="pt-BR" sz="1050" b="0">
            <a:solidFill>
              <a:schemeClr val="bg2">
                <a:lumMod val="2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121478</xdr:colOff>
      <xdr:row>32</xdr:row>
      <xdr:rowOff>176696</xdr:rowOff>
    </xdr:from>
    <xdr:to>
      <xdr:col>0</xdr:col>
      <xdr:colOff>1811131</xdr:colOff>
      <xdr:row>35</xdr:row>
      <xdr:rowOff>66260</xdr:rowOff>
    </xdr:to>
    <xdr:sp macro="" textlink="">
      <xdr:nvSpPr>
        <xdr:cNvPr id="30" name="Retângulo: Cantos Arredondados 2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4B0EEA-D938-4ADA-982D-FCF41EBF7240}"/>
            </a:ext>
          </a:extLst>
        </xdr:cNvPr>
        <xdr:cNvSpPr/>
      </xdr:nvSpPr>
      <xdr:spPr>
        <a:xfrm>
          <a:off x="121478" y="6813826"/>
          <a:ext cx="1689653" cy="452782"/>
        </a:xfrm>
        <a:prstGeom prst="roundRect">
          <a:avLst>
            <a:gd name="adj" fmla="val 5378"/>
          </a:avLst>
        </a:prstGeom>
        <a:solidFill>
          <a:schemeClr val="bg2">
            <a:alpha val="61000"/>
          </a:schemeClr>
        </a:solidFill>
        <a:ln>
          <a:solidFill>
            <a:srgbClr val="16823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  KPI</a:t>
          </a:r>
          <a:r>
            <a:rPr lang="pt-BR" sz="1400" b="0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&amp; Insights</a:t>
          </a:r>
          <a:endParaRPr lang="pt-BR" sz="1050" b="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88347</xdr:colOff>
      <xdr:row>0</xdr:row>
      <xdr:rowOff>209826</xdr:rowOff>
    </xdr:from>
    <xdr:to>
      <xdr:col>2</xdr:col>
      <xdr:colOff>426045</xdr:colOff>
      <xdr:row>2</xdr:row>
      <xdr:rowOff>157046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0A0775A5-0FBD-49BD-8C18-E5D4BD0D4BE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54086" y="209826"/>
          <a:ext cx="613785" cy="676090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90767</xdr:colOff>
      <xdr:row>0</xdr:row>
      <xdr:rowOff>208894</xdr:rowOff>
    </xdr:from>
    <xdr:to>
      <xdr:col>2</xdr:col>
      <xdr:colOff>418194</xdr:colOff>
      <xdr:row>2</xdr:row>
      <xdr:rowOff>157881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59144C2-CB4D-4CF3-B0A4-B5FF2CC6F2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61" t="13550" r="71947" b="18699"/>
        <a:stretch/>
      </xdr:blipFill>
      <xdr:spPr>
        <a:xfrm>
          <a:off x="2056506" y="208894"/>
          <a:ext cx="603514" cy="677857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  <xdr:twoCellAnchor editAs="absolute">
    <xdr:from>
      <xdr:col>0</xdr:col>
      <xdr:colOff>99390</xdr:colOff>
      <xdr:row>24</xdr:row>
      <xdr:rowOff>77305</xdr:rowOff>
    </xdr:from>
    <xdr:to>
      <xdr:col>0</xdr:col>
      <xdr:colOff>1789043</xdr:colOff>
      <xdr:row>25</xdr:row>
      <xdr:rowOff>143566</xdr:rowOff>
    </xdr:to>
    <xdr:sp macro="" textlink="">
      <xdr:nvSpPr>
        <xdr:cNvPr id="13" name="Retângulo: Cantos Arredondados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40307B0-ADF0-9F08-7F7E-38048A063983}"/>
            </a:ext>
          </a:extLst>
        </xdr:cNvPr>
        <xdr:cNvSpPr/>
      </xdr:nvSpPr>
      <xdr:spPr>
        <a:xfrm>
          <a:off x="99390" y="6824870"/>
          <a:ext cx="1689653" cy="452783"/>
        </a:xfrm>
        <a:prstGeom prst="roundRect">
          <a:avLst>
            <a:gd name="adj" fmla="val 5378"/>
          </a:avLst>
        </a:prstGeom>
        <a:gradFill>
          <a:gsLst>
            <a:gs pos="0">
              <a:schemeClr val="bg1">
                <a:lumMod val="75000"/>
              </a:schemeClr>
            </a:gs>
            <a:gs pos="50000">
              <a:schemeClr val="bg1">
                <a:lumMod val="85000"/>
              </a:schemeClr>
            </a:gs>
            <a:gs pos="100000">
              <a:schemeClr val="bg1">
                <a:lumMod val="100000"/>
              </a:schemeClr>
            </a:gs>
          </a:gsLst>
          <a:lin ang="16200000" scaled="1"/>
        </a:gradFill>
        <a:ln>
          <a:noFill/>
        </a:ln>
        <a:effectLst>
          <a:outerShdw blurRad="50800" dist="889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400" b="0">
              <a:solidFill>
                <a:schemeClr val="accent3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  KPI</a:t>
          </a:r>
          <a:r>
            <a:rPr lang="pt-BR" sz="1400" b="0" baseline="0">
              <a:solidFill>
                <a:schemeClr val="accent3">
                  <a:lumMod val="50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&amp; Insights</a:t>
          </a:r>
          <a:endParaRPr lang="pt-BR" sz="1050" b="0">
            <a:solidFill>
              <a:schemeClr val="accent3">
                <a:lumMod val="50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0</xdr:col>
      <xdr:colOff>530086</xdr:colOff>
      <xdr:row>1</xdr:row>
      <xdr:rowOff>77305</xdr:rowOff>
    </xdr:from>
    <xdr:to>
      <xdr:col>0</xdr:col>
      <xdr:colOff>1336261</xdr:colOff>
      <xdr:row>4</xdr:row>
      <xdr:rowOff>6843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F3667021-A0BD-46B0-8B35-A1D157881579}"/>
            </a:ext>
          </a:extLst>
        </xdr:cNvPr>
        <xdr:cNvSpPr/>
      </xdr:nvSpPr>
      <xdr:spPr>
        <a:xfrm>
          <a:off x="530086" y="353392"/>
          <a:ext cx="806175" cy="790929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0</xdr:col>
      <xdr:colOff>22088</xdr:colOff>
      <xdr:row>5</xdr:row>
      <xdr:rowOff>77305</xdr:rowOff>
    </xdr:from>
    <xdr:to>
      <xdr:col>0</xdr:col>
      <xdr:colOff>1928258</xdr:colOff>
      <xdr:row>6</xdr:row>
      <xdr:rowOff>434861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9364BFA8-8A87-436E-A691-F9D9BD9AEA9B}"/>
            </a:ext>
          </a:extLst>
        </xdr:cNvPr>
        <xdr:cNvSpPr/>
      </xdr:nvSpPr>
      <xdr:spPr>
        <a:xfrm>
          <a:off x="22088" y="1667566"/>
          <a:ext cx="1906170" cy="4459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8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→</a:t>
          </a:r>
          <a:r>
            <a:rPr lang="pt-BR" sz="14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4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Bem</a:t>
          </a:r>
          <a:r>
            <a:rPr lang="pt-BR" sz="1400" b="1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vinda, Liana</a:t>
          </a:r>
          <a:endParaRPr lang="pt-BR" sz="14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44172</xdr:colOff>
      <xdr:row>10</xdr:row>
      <xdr:rowOff>44173</xdr:rowOff>
    </xdr:from>
    <xdr:to>
      <xdr:col>0</xdr:col>
      <xdr:colOff>1912982</xdr:colOff>
      <xdr:row>18</xdr:row>
      <xdr:rowOff>84523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 3">
              <a:extLst>
                <a:ext uri="{FF2B5EF4-FFF2-40B4-BE49-F238E27FC236}">
                  <a16:creationId xmlns:a16="http://schemas.microsoft.com/office/drawing/2014/main" id="{DB7FFCB4-214B-4883-99EC-212349A403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72" y="2948608"/>
              <a:ext cx="1868810" cy="22821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absolute">
    <xdr:from>
      <xdr:col>0</xdr:col>
      <xdr:colOff>88346</xdr:colOff>
      <xdr:row>20</xdr:row>
      <xdr:rowOff>541130</xdr:rowOff>
    </xdr:from>
    <xdr:to>
      <xdr:col>0</xdr:col>
      <xdr:colOff>1777999</xdr:colOff>
      <xdr:row>22</xdr:row>
      <xdr:rowOff>44172</xdr:rowOff>
    </xdr:to>
    <xdr:sp macro="" textlink="">
      <xdr:nvSpPr>
        <xdr:cNvPr id="2" name="Retângulo: Cantos Arredondados 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E9C02F8-FFCB-4076-B983-9A5FDC4E92F4}"/>
            </a:ext>
          </a:extLst>
        </xdr:cNvPr>
        <xdr:cNvSpPr/>
      </xdr:nvSpPr>
      <xdr:spPr>
        <a:xfrm>
          <a:off x="88346" y="6162260"/>
          <a:ext cx="1689653" cy="452782"/>
        </a:xfrm>
        <a:prstGeom prst="roundRect">
          <a:avLst>
            <a:gd name="adj" fmla="val 5378"/>
          </a:avLst>
        </a:prstGeom>
        <a:solidFill>
          <a:schemeClr val="bg2">
            <a:alpha val="61000"/>
          </a:schemeClr>
        </a:solidFill>
        <a:ln>
          <a:solidFill>
            <a:srgbClr val="16823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Dashboard</a:t>
          </a:r>
          <a:endParaRPr lang="pt-BR" sz="1050" b="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ticia Alves" refreshedDate="46294.612548032404" createdVersion="8" refreshedVersion="8" minRefreshableVersion="3" recordCount="295" xr:uid="{3D5607C0-EE70-4A8F-B48B-60116402E0E3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 count="3">
        <n v="15"/>
        <n v="5"/>
        <n v="10"/>
      </sharedItems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5832570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x v="0"/>
    <x v="0"/>
    <x v="0"/>
    <x v="0"/>
    <s v="Yes"/>
    <n v="20"/>
    <n v="5"/>
    <n v="60"/>
  </r>
  <r>
    <n v="3232"/>
    <x v="1"/>
    <x v="1"/>
    <d v="2024-01-15T00:00:00"/>
    <x v="1"/>
    <x v="1"/>
    <x v="1"/>
    <x v="1"/>
    <x v="1"/>
    <s v="No"/>
    <n v="0"/>
    <n v="0"/>
    <n v="5"/>
  </r>
  <r>
    <n v="3233"/>
    <x v="2"/>
    <x v="2"/>
    <d v="2024-02-10T00:00:00"/>
    <x v="0"/>
    <x v="2"/>
    <x v="2"/>
    <x v="1"/>
    <x v="1"/>
    <s v="Yes"/>
    <n v="20"/>
    <n v="10"/>
    <n v="20"/>
  </r>
  <r>
    <n v="3234"/>
    <x v="3"/>
    <x v="0"/>
    <d v="2024-02-20T00:00:00"/>
    <x v="1"/>
    <x v="0"/>
    <x v="0"/>
    <x v="0"/>
    <x v="0"/>
    <s v="Yes"/>
    <n v="20"/>
    <n v="3"/>
    <n v="62"/>
  </r>
  <r>
    <n v="3235"/>
    <x v="4"/>
    <x v="1"/>
    <d v="2024-03-05T00:00:00"/>
    <x v="0"/>
    <x v="1"/>
    <x v="0"/>
    <x v="1"/>
    <x v="1"/>
    <s v="No"/>
    <n v="0"/>
    <n v="1"/>
    <n v="4"/>
  </r>
  <r>
    <n v="3236"/>
    <x v="5"/>
    <x v="2"/>
    <d v="2024-03-02T00:00:00"/>
    <x v="1"/>
    <x v="2"/>
    <x v="0"/>
    <x v="1"/>
    <x v="1"/>
    <s v="Yes"/>
    <n v="20"/>
    <n v="2"/>
    <n v="28"/>
  </r>
  <r>
    <n v="3237"/>
    <x v="6"/>
    <x v="0"/>
    <d v="2024-03-03T00:00:00"/>
    <x v="0"/>
    <x v="0"/>
    <x v="2"/>
    <x v="0"/>
    <x v="0"/>
    <s v="Yes"/>
    <n v="20"/>
    <n v="10"/>
    <n v="55"/>
  </r>
  <r>
    <n v="3238"/>
    <x v="7"/>
    <x v="1"/>
    <d v="2024-03-04T00:00:00"/>
    <x v="0"/>
    <x v="1"/>
    <x v="1"/>
    <x v="1"/>
    <x v="1"/>
    <s v="No"/>
    <n v="0"/>
    <n v="0"/>
    <n v="5"/>
  </r>
  <r>
    <n v="3239"/>
    <x v="8"/>
    <x v="0"/>
    <d v="2024-03-05T00:00:00"/>
    <x v="1"/>
    <x v="0"/>
    <x v="0"/>
    <x v="0"/>
    <x v="0"/>
    <s v="Yes"/>
    <n v="20"/>
    <n v="5"/>
    <n v="60"/>
  </r>
  <r>
    <n v="3240"/>
    <x v="9"/>
    <x v="2"/>
    <d v="2024-03-06T00:00:00"/>
    <x v="0"/>
    <x v="2"/>
    <x v="2"/>
    <x v="1"/>
    <x v="1"/>
    <s v="Yes"/>
    <n v="20"/>
    <n v="15"/>
    <n v="15"/>
  </r>
  <r>
    <n v="3241"/>
    <x v="10"/>
    <x v="1"/>
    <d v="2024-03-07T00:00:00"/>
    <x v="1"/>
    <x v="1"/>
    <x v="0"/>
    <x v="1"/>
    <x v="1"/>
    <s v="No"/>
    <n v="0"/>
    <n v="1"/>
    <n v="4"/>
  </r>
  <r>
    <n v="3242"/>
    <x v="11"/>
    <x v="0"/>
    <d v="2024-03-08T00:00:00"/>
    <x v="0"/>
    <x v="0"/>
    <x v="1"/>
    <x v="0"/>
    <x v="0"/>
    <s v="Yes"/>
    <n v="20"/>
    <n v="20"/>
    <n v="45"/>
  </r>
  <r>
    <n v="3243"/>
    <x v="12"/>
    <x v="2"/>
    <d v="2024-03-09T00:00:00"/>
    <x v="1"/>
    <x v="2"/>
    <x v="0"/>
    <x v="1"/>
    <x v="1"/>
    <s v="Yes"/>
    <n v="20"/>
    <n v="10"/>
    <n v="20"/>
  </r>
  <r>
    <n v="3244"/>
    <x v="13"/>
    <x v="1"/>
    <d v="2024-03-10T00:00:00"/>
    <x v="0"/>
    <x v="1"/>
    <x v="2"/>
    <x v="1"/>
    <x v="1"/>
    <s v="No"/>
    <n v="0"/>
    <n v="0"/>
    <n v="5"/>
  </r>
  <r>
    <n v="3245"/>
    <x v="14"/>
    <x v="0"/>
    <d v="2024-03-11T00:00:00"/>
    <x v="1"/>
    <x v="0"/>
    <x v="0"/>
    <x v="0"/>
    <x v="0"/>
    <s v="Yes"/>
    <n v="20"/>
    <n v="8"/>
    <n v="57"/>
  </r>
  <r>
    <n v="3246"/>
    <x v="15"/>
    <x v="2"/>
    <d v="2024-03-12T00:00:00"/>
    <x v="0"/>
    <x v="2"/>
    <x v="1"/>
    <x v="1"/>
    <x v="1"/>
    <s v="Yes"/>
    <n v="20"/>
    <n v="12"/>
    <n v="18"/>
  </r>
  <r>
    <n v="3247"/>
    <x v="16"/>
    <x v="1"/>
    <d v="2024-03-13T00:00:00"/>
    <x v="1"/>
    <x v="1"/>
    <x v="0"/>
    <x v="1"/>
    <x v="1"/>
    <s v="No"/>
    <n v="0"/>
    <n v="2"/>
    <n v="3"/>
  </r>
  <r>
    <n v="3248"/>
    <x v="17"/>
    <x v="0"/>
    <d v="2024-03-14T00:00:00"/>
    <x v="0"/>
    <x v="0"/>
    <x v="2"/>
    <x v="0"/>
    <x v="0"/>
    <s v="Yes"/>
    <n v="20"/>
    <n v="7"/>
    <n v="58"/>
  </r>
  <r>
    <n v="3249"/>
    <x v="18"/>
    <x v="2"/>
    <d v="2024-03-15T00:00:00"/>
    <x v="1"/>
    <x v="2"/>
    <x v="0"/>
    <x v="1"/>
    <x v="1"/>
    <s v="Yes"/>
    <n v="20"/>
    <n v="5"/>
    <n v="25"/>
  </r>
  <r>
    <n v="3250"/>
    <x v="19"/>
    <x v="1"/>
    <d v="2024-03-16T00:00:00"/>
    <x v="0"/>
    <x v="1"/>
    <x v="1"/>
    <x v="1"/>
    <x v="1"/>
    <s v="No"/>
    <n v="0"/>
    <n v="0"/>
    <n v="5"/>
  </r>
  <r>
    <n v="3251"/>
    <x v="20"/>
    <x v="0"/>
    <d v="2024-03-17T00:00:00"/>
    <x v="1"/>
    <x v="0"/>
    <x v="0"/>
    <x v="0"/>
    <x v="0"/>
    <s v="Yes"/>
    <n v="20"/>
    <n v="3"/>
    <n v="62"/>
  </r>
  <r>
    <n v="3252"/>
    <x v="21"/>
    <x v="2"/>
    <d v="2024-03-18T00:00:00"/>
    <x v="0"/>
    <x v="2"/>
    <x v="2"/>
    <x v="1"/>
    <x v="1"/>
    <s v="Yes"/>
    <n v="20"/>
    <n v="15"/>
    <n v="15"/>
  </r>
  <r>
    <n v="3253"/>
    <x v="22"/>
    <x v="1"/>
    <d v="2024-03-19T00:00:00"/>
    <x v="1"/>
    <x v="1"/>
    <x v="0"/>
    <x v="1"/>
    <x v="1"/>
    <s v="No"/>
    <n v="0"/>
    <n v="1"/>
    <n v="4"/>
  </r>
  <r>
    <n v="3254"/>
    <x v="23"/>
    <x v="0"/>
    <d v="2024-03-20T00:00:00"/>
    <x v="0"/>
    <x v="0"/>
    <x v="1"/>
    <x v="0"/>
    <x v="0"/>
    <s v="Yes"/>
    <n v="20"/>
    <n v="20"/>
    <n v="45"/>
  </r>
  <r>
    <n v="3255"/>
    <x v="24"/>
    <x v="2"/>
    <d v="2024-03-21T00:00:00"/>
    <x v="1"/>
    <x v="2"/>
    <x v="0"/>
    <x v="1"/>
    <x v="1"/>
    <s v="Yes"/>
    <n v="20"/>
    <n v="10"/>
    <n v="20"/>
  </r>
  <r>
    <n v="3256"/>
    <x v="25"/>
    <x v="1"/>
    <d v="2024-03-22T00:00:00"/>
    <x v="0"/>
    <x v="1"/>
    <x v="2"/>
    <x v="1"/>
    <x v="1"/>
    <s v="No"/>
    <n v="0"/>
    <n v="0"/>
    <n v="5"/>
  </r>
  <r>
    <n v="3257"/>
    <x v="26"/>
    <x v="0"/>
    <d v="2024-03-23T00:00:00"/>
    <x v="1"/>
    <x v="0"/>
    <x v="0"/>
    <x v="0"/>
    <x v="0"/>
    <s v="Yes"/>
    <n v="20"/>
    <n v="5"/>
    <n v="60"/>
  </r>
  <r>
    <n v="3258"/>
    <x v="27"/>
    <x v="2"/>
    <d v="2024-03-24T00:00:00"/>
    <x v="0"/>
    <x v="2"/>
    <x v="1"/>
    <x v="1"/>
    <x v="1"/>
    <s v="Yes"/>
    <n v="20"/>
    <n v="15"/>
    <n v="15"/>
  </r>
  <r>
    <n v="3259"/>
    <x v="28"/>
    <x v="1"/>
    <d v="2024-03-25T00:00:00"/>
    <x v="1"/>
    <x v="1"/>
    <x v="0"/>
    <x v="1"/>
    <x v="1"/>
    <s v="No"/>
    <n v="0"/>
    <n v="1"/>
    <n v="4"/>
  </r>
  <r>
    <n v="3260"/>
    <x v="29"/>
    <x v="0"/>
    <d v="2024-03-26T00:00:00"/>
    <x v="0"/>
    <x v="0"/>
    <x v="2"/>
    <x v="0"/>
    <x v="0"/>
    <s v="Yes"/>
    <n v="20"/>
    <n v="7"/>
    <n v="58"/>
  </r>
  <r>
    <n v="3261"/>
    <x v="30"/>
    <x v="2"/>
    <d v="2024-03-27T00:00:00"/>
    <x v="1"/>
    <x v="2"/>
    <x v="0"/>
    <x v="1"/>
    <x v="1"/>
    <s v="Yes"/>
    <n v="20"/>
    <n v="10"/>
    <n v="20"/>
  </r>
  <r>
    <n v="3262"/>
    <x v="31"/>
    <x v="1"/>
    <d v="2024-03-28T00:00:00"/>
    <x v="0"/>
    <x v="1"/>
    <x v="1"/>
    <x v="1"/>
    <x v="1"/>
    <s v="No"/>
    <n v="0"/>
    <n v="0"/>
    <n v="5"/>
  </r>
  <r>
    <n v="3263"/>
    <x v="32"/>
    <x v="0"/>
    <d v="2024-03-29T00:00:00"/>
    <x v="1"/>
    <x v="0"/>
    <x v="0"/>
    <x v="0"/>
    <x v="0"/>
    <s v="Yes"/>
    <n v="20"/>
    <n v="3"/>
    <n v="62"/>
  </r>
  <r>
    <n v="3264"/>
    <x v="33"/>
    <x v="2"/>
    <d v="2024-03-30T00:00:00"/>
    <x v="0"/>
    <x v="2"/>
    <x v="2"/>
    <x v="1"/>
    <x v="1"/>
    <s v="Yes"/>
    <n v="20"/>
    <n v="15"/>
    <n v="15"/>
  </r>
  <r>
    <n v="3265"/>
    <x v="34"/>
    <x v="1"/>
    <d v="2024-03-31T00:00:00"/>
    <x v="1"/>
    <x v="1"/>
    <x v="0"/>
    <x v="1"/>
    <x v="1"/>
    <s v="No"/>
    <n v="0"/>
    <n v="1"/>
    <n v="4"/>
  </r>
  <r>
    <n v="3266"/>
    <x v="35"/>
    <x v="1"/>
    <d v="2024-04-01T00:00:00"/>
    <x v="0"/>
    <x v="1"/>
    <x v="0"/>
    <x v="1"/>
    <x v="1"/>
    <s v="No"/>
    <n v="0"/>
    <n v="0"/>
    <n v="5"/>
  </r>
  <r>
    <n v="3267"/>
    <x v="36"/>
    <x v="0"/>
    <d v="2024-04-02T00:00:00"/>
    <x v="1"/>
    <x v="0"/>
    <x v="2"/>
    <x v="0"/>
    <x v="0"/>
    <s v="Yes"/>
    <n v="20"/>
    <n v="7"/>
    <n v="58"/>
  </r>
  <r>
    <n v="3268"/>
    <x v="37"/>
    <x v="2"/>
    <d v="2024-04-03T00:00:00"/>
    <x v="0"/>
    <x v="2"/>
    <x v="1"/>
    <x v="1"/>
    <x v="1"/>
    <s v="Yes"/>
    <n v="20"/>
    <n v="10"/>
    <n v="20"/>
  </r>
  <r>
    <n v="3269"/>
    <x v="38"/>
    <x v="1"/>
    <d v="2024-04-04T00:00:00"/>
    <x v="1"/>
    <x v="1"/>
    <x v="2"/>
    <x v="1"/>
    <x v="1"/>
    <s v="No"/>
    <n v="0"/>
    <n v="1"/>
    <n v="4"/>
  </r>
  <r>
    <n v="3270"/>
    <x v="39"/>
    <x v="0"/>
    <d v="2024-04-05T00:00:00"/>
    <x v="0"/>
    <x v="0"/>
    <x v="0"/>
    <x v="0"/>
    <x v="0"/>
    <s v="Yes"/>
    <n v="20"/>
    <n v="15"/>
    <n v="50"/>
  </r>
  <r>
    <n v="3271"/>
    <x v="40"/>
    <x v="2"/>
    <d v="2024-04-06T00:00:00"/>
    <x v="1"/>
    <x v="2"/>
    <x v="0"/>
    <x v="1"/>
    <x v="1"/>
    <s v="Yes"/>
    <n v="20"/>
    <n v="5"/>
    <n v="25"/>
  </r>
  <r>
    <n v="3272"/>
    <x v="41"/>
    <x v="1"/>
    <d v="2024-04-07T00:00:00"/>
    <x v="0"/>
    <x v="1"/>
    <x v="1"/>
    <x v="1"/>
    <x v="1"/>
    <s v="No"/>
    <n v="0"/>
    <n v="0"/>
    <n v="5"/>
  </r>
  <r>
    <n v="3273"/>
    <x v="42"/>
    <x v="0"/>
    <d v="2024-04-08T00:00:00"/>
    <x v="1"/>
    <x v="0"/>
    <x v="2"/>
    <x v="0"/>
    <x v="0"/>
    <s v="Yes"/>
    <n v="20"/>
    <n v="20"/>
    <n v="45"/>
  </r>
  <r>
    <n v="3274"/>
    <x v="43"/>
    <x v="2"/>
    <d v="2024-04-09T00:00:00"/>
    <x v="0"/>
    <x v="2"/>
    <x v="2"/>
    <x v="1"/>
    <x v="1"/>
    <s v="Yes"/>
    <n v="20"/>
    <n v="12"/>
    <n v="18"/>
  </r>
  <r>
    <n v="3275"/>
    <x v="44"/>
    <x v="1"/>
    <d v="2024-04-10T00:00:00"/>
    <x v="1"/>
    <x v="1"/>
    <x v="0"/>
    <x v="1"/>
    <x v="1"/>
    <s v="No"/>
    <n v="0"/>
    <n v="2"/>
    <n v="3"/>
  </r>
  <r>
    <n v="3276"/>
    <x v="45"/>
    <x v="0"/>
    <d v="2024-04-11T00:00:00"/>
    <x v="0"/>
    <x v="0"/>
    <x v="1"/>
    <x v="0"/>
    <x v="0"/>
    <s v="Yes"/>
    <n v="20"/>
    <n v="5"/>
    <n v="60"/>
  </r>
  <r>
    <n v="3277"/>
    <x v="46"/>
    <x v="2"/>
    <d v="2024-04-12T00:00:00"/>
    <x v="1"/>
    <x v="2"/>
    <x v="0"/>
    <x v="1"/>
    <x v="1"/>
    <s v="Yes"/>
    <n v="20"/>
    <n v="10"/>
    <n v="20"/>
  </r>
  <r>
    <n v="3278"/>
    <x v="47"/>
    <x v="1"/>
    <d v="2024-04-13T00:00:00"/>
    <x v="0"/>
    <x v="1"/>
    <x v="2"/>
    <x v="1"/>
    <x v="1"/>
    <s v="No"/>
    <n v="0"/>
    <n v="0"/>
    <n v="5"/>
  </r>
  <r>
    <n v="3279"/>
    <x v="48"/>
    <x v="0"/>
    <d v="2024-04-14T00:00:00"/>
    <x v="1"/>
    <x v="0"/>
    <x v="0"/>
    <x v="0"/>
    <x v="0"/>
    <s v="Yes"/>
    <n v="20"/>
    <n v="3"/>
    <n v="62"/>
  </r>
  <r>
    <n v="3280"/>
    <x v="49"/>
    <x v="2"/>
    <d v="2024-04-15T00:00:00"/>
    <x v="0"/>
    <x v="2"/>
    <x v="1"/>
    <x v="1"/>
    <x v="1"/>
    <s v="Yes"/>
    <n v="20"/>
    <n v="15"/>
    <n v="15"/>
  </r>
  <r>
    <n v="3281"/>
    <x v="50"/>
    <x v="1"/>
    <d v="2024-04-16T00:00:00"/>
    <x v="1"/>
    <x v="1"/>
    <x v="0"/>
    <x v="1"/>
    <x v="1"/>
    <s v="No"/>
    <n v="0"/>
    <n v="1"/>
    <n v="4"/>
  </r>
  <r>
    <n v="3282"/>
    <x v="51"/>
    <x v="0"/>
    <d v="2024-04-17T00:00:00"/>
    <x v="0"/>
    <x v="0"/>
    <x v="2"/>
    <x v="0"/>
    <x v="0"/>
    <s v="Yes"/>
    <n v="20"/>
    <n v="7"/>
    <n v="58"/>
  </r>
  <r>
    <n v="3283"/>
    <x v="52"/>
    <x v="2"/>
    <d v="2024-04-18T00:00:00"/>
    <x v="1"/>
    <x v="2"/>
    <x v="0"/>
    <x v="1"/>
    <x v="1"/>
    <s v="Yes"/>
    <n v="20"/>
    <n v="10"/>
    <n v="20"/>
  </r>
  <r>
    <n v="3284"/>
    <x v="53"/>
    <x v="1"/>
    <d v="2024-04-19T00:00:00"/>
    <x v="0"/>
    <x v="1"/>
    <x v="1"/>
    <x v="1"/>
    <x v="1"/>
    <s v="No"/>
    <n v="0"/>
    <n v="0"/>
    <n v="5"/>
  </r>
  <r>
    <n v="3285"/>
    <x v="54"/>
    <x v="0"/>
    <d v="2024-04-20T00:00:00"/>
    <x v="1"/>
    <x v="0"/>
    <x v="0"/>
    <x v="0"/>
    <x v="0"/>
    <s v="Yes"/>
    <n v="20"/>
    <n v="20"/>
    <n v="45"/>
  </r>
  <r>
    <n v="3286"/>
    <x v="55"/>
    <x v="2"/>
    <d v="2024-04-21T00:00:00"/>
    <x v="0"/>
    <x v="2"/>
    <x v="2"/>
    <x v="1"/>
    <x v="1"/>
    <s v="Yes"/>
    <n v="20"/>
    <n v="15"/>
    <n v="15"/>
  </r>
  <r>
    <n v="3287"/>
    <x v="56"/>
    <x v="1"/>
    <d v="2024-04-22T00:00:00"/>
    <x v="1"/>
    <x v="1"/>
    <x v="0"/>
    <x v="1"/>
    <x v="1"/>
    <s v="No"/>
    <n v="0"/>
    <n v="1"/>
    <n v="4"/>
  </r>
  <r>
    <n v="3288"/>
    <x v="57"/>
    <x v="0"/>
    <d v="2024-04-23T00:00:00"/>
    <x v="0"/>
    <x v="0"/>
    <x v="1"/>
    <x v="0"/>
    <x v="0"/>
    <s v="Yes"/>
    <n v="20"/>
    <n v="3"/>
    <n v="62"/>
  </r>
  <r>
    <n v="3289"/>
    <x v="58"/>
    <x v="2"/>
    <d v="2024-04-24T00:00:00"/>
    <x v="1"/>
    <x v="2"/>
    <x v="0"/>
    <x v="1"/>
    <x v="1"/>
    <s v="Yes"/>
    <n v="20"/>
    <n v="10"/>
    <n v="20"/>
  </r>
  <r>
    <n v="3290"/>
    <x v="59"/>
    <x v="1"/>
    <d v="2024-04-25T00:00:00"/>
    <x v="0"/>
    <x v="1"/>
    <x v="2"/>
    <x v="1"/>
    <x v="1"/>
    <s v="No"/>
    <n v="0"/>
    <n v="0"/>
    <n v="5"/>
  </r>
  <r>
    <n v="3291"/>
    <x v="60"/>
    <x v="0"/>
    <d v="2024-04-26T00:00:00"/>
    <x v="1"/>
    <x v="0"/>
    <x v="0"/>
    <x v="0"/>
    <x v="0"/>
    <s v="Yes"/>
    <n v="20"/>
    <n v="5"/>
    <n v="60"/>
  </r>
  <r>
    <n v="3292"/>
    <x v="61"/>
    <x v="2"/>
    <d v="2024-04-27T00:00:00"/>
    <x v="0"/>
    <x v="2"/>
    <x v="1"/>
    <x v="1"/>
    <x v="1"/>
    <s v="Yes"/>
    <n v="20"/>
    <n v="15"/>
    <n v="15"/>
  </r>
  <r>
    <n v="3293"/>
    <x v="62"/>
    <x v="1"/>
    <d v="2024-04-28T00:00:00"/>
    <x v="1"/>
    <x v="1"/>
    <x v="0"/>
    <x v="1"/>
    <x v="1"/>
    <s v="No"/>
    <n v="0"/>
    <n v="1"/>
    <n v="4"/>
  </r>
  <r>
    <n v="3294"/>
    <x v="63"/>
    <x v="0"/>
    <d v="2024-04-29T00:00:00"/>
    <x v="0"/>
    <x v="0"/>
    <x v="2"/>
    <x v="0"/>
    <x v="0"/>
    <s v="Yes"/>
    <n v="20"/>
    <n v="20"/>
    <n v="45"/>
  </r>
  <r>
    <n v="3295"/>
    <x v="64"/>
    <x v="2"/>
    <d v="2024-04-30T00:00:00"/>
    <x v="1"/>
    <x v="2"/>
    <x v="0"/>
    <x v="1"/>
    <x v="1"/>
    <s v="Yes"/>
    <n v="20"/>
    <n v="5"/>
    <n v="25"/>
  </r>
  <r>
    <n v="3296"/>
    <x v="65"/>
    <x v="1"/>
    <d v="2024-05-01T00:00:00"/>
    <x v="1"/>
    <x v="1"/>
    <x v="0"/>
    <x v="1"/>
    <x v="1"/>
    <s v="No"/>
    <n v="0"/>
    <n v="0"/>
    <n v="5"/>
  </r>
  <r>
    <n v="3297"/>
    <x v="66"/>
    <x v="0"/>
    <d v="2024-05-02T00:00:00"/>
    <x v="0"/>
    <x v="0"/>
    <x v="2"/>
    <x v="0"/>
    <x v="0"/>
    <s v="Yes"/>
    <n v="20"/>
    <n v="7"/>
    <n v="58"/>
  </r>
  <r>
    <n v="3298"/>
    <x v="67"/>
    <x v="2"/>
    <d v="2024-05-03T00:00:00"/>
    <x v="1"/>
    <x v="2"/>
    <x v="1"/>
    <x v="1"/>
    <x v="1"/>
    <s v="Yes"/>
    <n v="20"/>
    <n v="10"/>
    <n v="20"/>
  </r>
  <r>
    <n v="3299"/>
    <x v="68"/>
    <x v="1"/>
    <d v="2024-05-04T00:00:00"/>
    <x v="0"/>
    <x v="1"/>
    <x v="2"/>
    <x v="1"/>
    <x v="1"/>
    <s v="No"/>
    <n v="0"/>
    <n v="1"/>
    <n v="4"/>
  </r>
  <r>
    <n v="3300"/>
    <x v="69"/>
    <x v="0"/>
    <d v="2024-05-05T00:00:00"/>
    <x v="1"/>
    <x v="0"/>
    <x v="0"/>
    <x v="0"/>
    <x v="0"/>
    <s v="Yes"/>
    <n v="20"/>
    <n v="15"/>
    <n v="50"/>
  </r>
  <r>
    <n v="3301"/>
    <x v="70"/>
    <x v="2"/>
    <d v="2024-05-06T00:00:00"/>
    <x v="0"/>
    <x v="2"/>
    <x v="0"/>
    <x v="1"/>
    <x v="1"/>
    <s v="Yes"/>
    <n v="20"/>
    <n v="5"/>
    <n v="25"/>
  </r>
  <r>
    <n v="3302"/>
    <x v="71"/>
    <x v="1"/>
    <d v="2024-05-07T00:00:00"/>
    <x v="1"/>
    <x v="1"/>
    <x v="1"/>
    <x v="1"/>
    <x v="1"/>
    <s v="No"/>
    <n v="0"/>
    <n v="0"/>
    <n v="5"/>
  </r>
  <r>
    <n v="3303"/>
    <x v="72"/>
    <x v="0"/>
    <d v="2024-05-08T00:00:00"/>
    <x v="0"/>
    <x v="0"/>
    <x v="2"/>
    <x v="0"/>
    <x v="0"/>
    <s v="Yes"/>
    <n v="20"/>
    <n v="20"/>
    <n v="45"/>
  </r>
  <r>
    <n v="3304"/>
    <x v="73"/>
    <x v="2"/>
    <d v="2024-05-09T00:00:00"/>
    <x v="1"/>
    <x v="2"/>
    <x v="2"/>
    <x v="1"/>
    <x v="1"/>
    <s v="Yes"/>
    <n v="20"/>
    <n v="12"/>
    <n v="18"/>
  </r>
  <r>
    <n v="3305"/>
    <x v="74"/>
    <x v="1"/>
    <d v="2024-05-10T00:00:00"/>
    <x v="0"/>
    <x v="1"/>
    <x v="0"/>
    <x v="1"/>
    <x v="1"/>
    <s v="No"/>
    <n v="0"/>
    <n v="2"/>
    <n v="3"/>
  </r>
  <r>
    <n v="3306"/>
    <x v="75"/>
    <x v="0"/>
    <d v="2024-05-11T00:00:00"/>
    <x v="1"/>
    <x v="0"/>
    <x v="1"/>
    <x v="0"/>
    <x v="0"/>
    <s v="Yes"/>
    <n v="20"/>
    <n v="5"/>
    <n v="60"/>
  </r>
  <r>
    <n v="3307"/>
    <x v="76"/>
    <x v="2"/>
    <d v="2024-05-12T00:00:00"/>
    <x v="0"/>
    <x v="2"/>
    <x v="0"/>
    <x v="1"/>
    <x v="1"/>
    <s v="Yes"/>
    <n v="20"/>
    <n v="10"/>
    <n v="20"/>
  </r>
  <r>
    <n v="3308"/>
    <x v="77"/>
    <x v="1"/>
    <d v="2024-05-13T00:00:00"/>
    <x v="1"/>
    <x v="1"/>
    <x v="2"/>
    <x v="1"/>
    <x v="1"/>
    <s v="No"/>
    <n v="0"/>
    <n v="0"/>
    <n v="5"/>
  </r>
  <r>
    <n v="3309"/>
    <x v="78"/>
    <x v="0"/>
    <d v="2024-05-14T00:00:00"/>
    <x v="0"/>
    <x v="0"/>
    <x v="0"/>
    <x v="0"/>
    <x v="0"/>
    <s v="Yes"/>
    <n v="20"/>
    <n v="3"/>
    <n v="62"/>
  </r>
  <r>
    <n v="3310"/>
    <x v="79"/>
    <x v="2"/>
    <d v="2024-05-15T00:00:00"/>
    <x v="1"/>
    <x v="2"/>
    <x v="1"/>
    <x v="1"/>
    <x v="1"/>
    <s v="Yes"/>
    <n v="20"/>
    <n v="15"/>
    <n v="15"/>
  </r>
  <r>
    <n v="3311"/>
    <x v="80"/>
    <x v="1"/>
    <d v="2024-05-16T00:00:00"/>
    <x v="0"/>
    <x v="1"/>
    <x v="0"/>
    <x v="1"/>
    <x v="1"/>
    <s v="No"/>
    <n v="0"/>
    <n v="1"/>
    <n v="4"/>
  </r>
  <r>
    <n v="3312"/>
    <x v="81"/>
    <x v="0"/>
    <d v="2024-05-17T00:00:00"/>
    <x v="1"/>
    <x v="0"/>
    <x v="2"/>
    <x v="0"/>
    <x v="0"/>
    <s v="Yes"/>
    <n v="20"/>
    <n v="7"/>
    <n v="58"/>
  </r>
  <r>
    <n v="3313"/>
    <x v="82"/>
    <x v="2"/>
    <d v="2024-05-18T00:00:00"/>
    <x v="0"/>
    <x v="2"/>
    <x v="0"/>
    <x v="1"/>
    <x v="1"/>
    <s v="Yes"/>
    <n v="20"/>
    <n v="10"/>
    <n v="20"/>
  </r>
  <r>
    <n v="3314"/>
    <x v="83"/>
    <x v="1"/>
    <d v="2024-05-19T00:00:00"/>
    <x v="1"/>
    <x v="1"/>
    <x v="1"/>
    <x v="1"/>
    <x v="1"/>
    <s v="No"/>
    <n v="0"/>
    <n v="0"/>
    <n v="5"/>
  </r>
  <r>
    <n v="3315"/>
    <x v="84"/>
    <x v="0"/>
    <d v="2024-05-20T00:00:00"/>
    <x v="0"/>
    <x v="0"/>
    <x v="0"/>
    <x v="0"/>
    <x v="0"/>
    <s v="Yes"/>
    <n v="20"/>
    <n v="20"/>
    <n v="45"/>
  </r>
  <r>
    <n v="3316"/>
    <x v="85"/>
    <x v="2"/>
    <d v="2024-05-21T00:00:00"/>
    <x v="1"/>
    <x v="2"/>
    <x v="2"/>
    <x v="1"/>
    <x v="1"/>
    <s v="Yes"/>
    <n v="20"/>
    <n v="15"/>
    <n v="15"/>
  </r>
  <r>
    <n v="3317"/>
    <x v="86"/>
    <x v="1"/>
    <d v="2024-05-22T00:00:00"/>
    <x v="0"/>
    <x v="1"/>
    <x v="0"/>
    <x v="1"/>
    <x v="1"/>
    <s v="No"/>
    <n v="0"/>
    <n v="1"/>
    <n v="4"/>
  </r>
  <r>
    <n v="3318"/>
    <x v="87"/>
    <x v="0"/>
    <d v="2024-05-23T00:00:00"/>
    <x v="1"/>
    <x v="0"/>
    <x v="1"/>
    <x v="0"/>
    <x v="0"/>
    <s v="Yes"/>
    <n v="20"/>
    <n v="3"/>
    <n v="62"/>
  </r>
  <r>
    <n v="3319"/>
    <x v="88"/>
    <x v="2"/>
    <d v="2024-05-24T00:00:00"/>
    <x v="0"/>
    <x v="2"/>
    <x v="0"/>
    <x v="1"/>
    <x v="1"/>
    <s v="Yes"/>
    <n v="20"/>
    <n v="10"/>
    <n v="20"/>
  </r>
  <r>
    <n v="3320"/>
    <x v="89"/>
    <x v="1"/>
    <d v="2024-05-25T00:00:00"/>
    <x v="1"/>
    <x v="1"/>
    <x v="2"/>
    <x v="1"/>
    <x v="1"/>
    <s v="No"/>
    <n v="0"/>
    <n v="0"/>
    <n v="5"/>
  </r>
  <r>
    <n v="3321"/>
    <x v="90"/>
    <x v="0"/>
    <d v="2024-05-26T00:00:00"/>
    <x v="0"/>
    <x v="0"/>
    <x v="0"/>
    <x v="0"/>
    <x v="0"/>
    <s v="Yes"/>
    <n v="20"/>
    <n v="5"/>
    <n v="60"/>
  </r>
  <r>
    <n v="3322"/>
    <x v="91"/>
    <x v="2"/>
    <d v="2024-05-27T00:00:00"/>
    <x v="1"/>
    <x v="2"/>
    <x v="1"/>
    <x v="1"/>
    <x v="1"/>
    <s v="Yes"/>
    <n v="20"/>
    <n v="15"/>
    <n v="15"/>
  </r>
  <r>
    <n v="3323"/>
    <x v="92"/>
    <x v="1"/>
    <d v="2024-05-28T00:00:00"/>
    <x v="0"/>
    <x v="1"/>
    <x v="0"/>
    <x v="1"/>
    <x v="1"/>
    <s v="No"/>
    <n v="0"/>
    <n v="1"/>
    <n v="4"/>
  </r>
  <r>
    <n v="3324"/>
    <x v="93"/>
    <x v="0"/>
    <d v="2024-05-29T00:00:00"/>
    <x v="1"/>
    <x v="0"/>
    <x v="2"/>
    <x v="0"/>
    <x v="0"/>
    <s v="Yes"/>
    <n v="20"/>
    <n v="20"/>
    <n v="45"/>
  </r>
  <r>
    <n v="3325"/>
    <x v="94"/>
    <x v="2"/>
    <d v="2024-05-30T00:00:00"/>
    <x v="0"/>
    <x v="2"/>
    <x v="2"/>
    <x v="1"/>
    <x v="1"/>
    <s v="Yes"/>
    <n v="20"/>
    <n v="15"/>
    <n v="15"/>
  </r>
  <r>
    <n v="3326"/>
    <x v="95"/>
    <x v="1"/>
    <d v="2024-05-31T00:00:00"/>
    <x v="1"/>
    <x v="1"/>
    <x v="1"/>
    <x v="1"/>
    <x v="1"/>
    <s v="No"/>
    <n v="0"/>
    <n v="0"/>
    <n v="5"/>
  </r>
  <r>
    <n v="3327"/>
    <x v="96"/>
    <x v="0"/>
    <d v="2024-06-01T00:00:00"/>
    <x v="0"/>
    <x v="0"/>
    <x v="0"/>
    <x v="0"/>
    <x v="0"/>
    <s v="Yes"/>
    <n v="20"/>
    <n v="7"/>
    <n v="58"/>
  </r>
  <r>
    <n v="3328"/>
    <x v="97"/>
    <x v="2"/>
    <d v="2024-06-02T00:00:00"/>
    <x v="1"/>
    <x v="2"/>
    <x v="1"/>
    <x v="1"/>
    <x v="1"/>
    <s v="Yes"/>
    <n v="20"/>
    <n v="10"/>
    <n v="20"/>
  </r>
  <r>
    <n v="3329"/>
    <x v="98"/>
    <x v="1"/>
    <d v="2024-06-03T00:00:00"/>
    <x v="0"/>
    <x v="1"/>
    <x v="2"/>
    <x v="1"/>
    <x v="1"/>
    <s v="No"/>
    <n v="0"/>
    <n v="1"/>
    <n v="4"/>
  </r>
  <r>
    <n v="3330"/>
    <x v="99"/>
    <x v="0"/>
    <d v="2024-06-04T00:00:00"/>
    <x v="1"/>
    <x v="0"/>
    <x v="0"/>
    <x v="0"/>
    <x v="0"/>
    <s v="Yes"/>
    <n v="20"/>
    <n v="15"/>
    <n v="50"/>
  </r>
  <r>
    <n v="3331"/>
    <x v="100"/>
    <x v="2"/>
    <d v="2024-06-05T00:00:00"/>
    <x v="0"/>
    <x v="2"/>
    <x v="0"/>
    <x v="1"/>
    <x v="1"/>
    <s v="Yes"/>
    <n v="20"/>
    <n v="5"/>
    <n v="25"/>
  </r>
  <r>
    <n v="3332"/>
    <x v="101"/>
    <x v="1"/>
    <d v="2024-06-06T00:00:00"/>
    <x v="1"/>
    <x v="1"/>
    <x v="1"/>
    <x v="1"/>
    <x v="1"/>
    <s v="No"/>
    <n v="0"/>
    <n v="0"/>
    <n v="5"/>
  </r>
  <r>
    <n v="3333"/>
    <x v="102"/>
    <x v="0"/>
    <d v="2024-06-07T00:00:00"/>
    <x v="0"/>
    <x v="0"/>
    <x v="2"/>
    <x v="0"/>
    <x v="0"/>
    <s v="Yes"/>
    <n v="20"/>
    <n v="20"/>
    <n v="45"/>
  </r>
  <r>
    <n v="3334"/>
    <x v="103"/>
    <x v="2"/>
    <d v="2024-06-08T00:00:00"/>
    <x v="1"/>
    <x v="2"/>
    <x v="2"/>
    <x v="1"/>
    <x v="1"/>
    <s v="Yes"/>
    <n v="20"/>
    <n v="12"/>
    <n v="18"/>
  </r>
  <r>
    <n v="3335"/>
    <x v="104"/>
    <x v="1"/>
    <d v="2024-06-09T00:00:00"/>
    <x v="0"/>
    <x v="1"/>
    <x v="0"/>
    <x v="1"/>
    <x v="1"/>
    <s v="No"/>
    <n v="0"/>
    <n v="2"/>
    <n v="3"/>
  </r>
  <r>
    <n v="3336"/>
    <x v="105"/>
    <x v="1"/>
    <d v="2024-06-10T00:00:00"/>
    <x v="0"/>
    <x v="1"/>
    <x v="0"/>
    <x v="1"/>
    <x v="1"/>
    <s v="No"/>
    <n v="0"/>
    <n v="0"/>
    <n v="5"/>
  </r>
  <r>
    <n v="3337"/>
    <x v="106"/>
    <x v="0"/>
    <d v="2024-06-11T00:00:00"/>
    <x v="1"/>
    <x v="0"/>
    <x v="2"/>
    <x v="0"/>
    <x v="0"/>
    <s v="Yes"/>
    <n v="20"/>
    <n v="7"/>
    <n v="58"/>
  </r>
  <r>
    <n v="3338"/>
    <x v="107"/>
    <x v="2"/>
    <d v="2024-06-12T00:00:00"/>
    <x v="0"/>
    <x v="2"/>
    <x v="1"/>
    <x v="1"/>
    <x v="1"/>
    <s v="Yes"/>
    <n v="20"/>
    <n v="10"/>
    <n v="20"/>
  </r>
  <r>
    <n v="3339"/>
    <x v="108"/>
    <x v="1"/>
    <d v="2024-06-13T00:00:00"/>
    <x v="1"/>
    <x v="1"/>
    <x v="2"/>
    <x v="1"/>
    <x v="1"/>
    <s v="No"/>
    <n v="0"/>
    <n v="1"/>
    <n v="4"/>
  </r>
  <r>
    <n v="3340"/>
    <x v="109"/>
    <x v="0"/>
    <d v="2024-06-14T00:00:00"/>
    <x v="0"/>
    <x v="0"/>
    <x v="0"/>
    <x v="0"/>
    <x v="0"/>
    <s v="Yes"/>
    <n v="20"/>
    <n v="15"/>
    <n v="50"/>
  </r>
  <r>
    <n v="3341"/>
    <x v="110"/>
    <x v="2"/>
    <d v="2024-06-15T00:00:00"/>
    <x v="1"/>
    <x v="2"/>
    <x v="0"/>
    <x v="1"/>
    <x v="1"/>
    <s v="Yes"/>
    <n v="20"/>
    <n v="5"/>
    <n v="25"/>
  </r>
  <r>
    <n v="3342"/>
    <x v="111"/>
    <x v="1"/>
    <d v="2024-06-16T00:00:00"/>
    <x v="0"/>
    <x v="1"/>
    <x v="1"/>
    <x v="1"/>
    <x v="1"/>
    <s v="No"/>
    <n v="0"/>
    <n v="0"/>
    <n v="5"/>
  </r>
  <r>
    <n v="3343"/>
    <x v="112"/>
    <x v="0"/>
    <d v="2024-06-17T00:00:00"/>
    <x v="1"/>
    <x v="0"/>
    <x v="2"/>
    <x v="0"/>
    <x v="0"/>
    <s v="Yes"/>
    <n v="20"/>
    <n v="20"/>
    <n v="45"/>
  </r>
  <r>
    <n v="3344"/>
    <x v="113"/>
    <x v="2"/>
    <d v="2024-06-18T00:00:00"/>
    <x v="0"/>
    <x v="2"/>
    <x v="2"/>
    <x v="1"/>
    <x v="1"/>
    <s v="Yes"/>
    <n v="20"/>
    <n v="12"/>
    <n v="18"/>
  </r>
  <r>
    <n v="3345"/>
    <x v="114"/>
    <x v="1"/>
    <d v="2024-06-19T00:00:00"/>
    <x v="1"/>
    <x v="1"/>
    <x v="0"/>
    <x v="1"/>
    <x v="1"/>
    <s v="No"/>
    <n v="0"/>
    <n v="2"/>
    <n v="3"/>
  </r>
  <r>
    <n v="3346"/>
    <x v="115"/>
    <x v="0"/>
    <d v="2024-06-20T00:00:00"/>
    <x v="0"/>
    <x v="0"/>
    <x v="1"/>
    <x v="0"/>
    <x v="0"/>
    <s v="Yes"/>
    <n v="20"/>
    <n v="5"/>
    <n v="60"/>
  </r>
  <r>
    <n v="3347"/>
    <x v="116"/>
    <x v="2"/>
    <d v="2024-06-21T00:00:00"/>
    <x v="1"/>
    <x v="2"/>
    <x v="0"/>
    <x v="1"/>
    <x v="1"/>
    <s v="Yes"/>
    <n v="20"/>
    <n v="10"/>
    <n v="20"/>
  </r>
  <r>
    <n v="3348"/>
    <x v="117"/>
    <x v="1"/>
    <d v="2024-06-22T00:00:00"/>
    <x v="0"/>
    <x v="1"/>
    <x v="2"/>
    <x v="1"/>
    <x v="1"/>
    <s v="No"/>
    <n v="0"/>
    <n v="0"/>
    <n v="5"/>
  </r>
  <r>
    <n v="3349"/>
    <x v="93"/>
    <x v="0"/>
    <d v="2024-06-23T00:00:00"/>
    <x v="1"/>
    <x v="0"/>
    <x v="0"/>
    <x v="0"/>
    <x v="0"/>
    <s v="Yes"/>
    <n v="20"/>
    <n v="3"/>
    <n v="62"/>
  </r>
  <r>
    <n v="3350"/>
    <x v="118"/>
    <x v="2"/>
    <d v="2024-06-24T00:00:00"/>
    <x v="0"/>
    <x v="2"/>
    <x v="1"/>
    <x v="1"/>
    <x v="1"/>
    <s v="Yes"/>
    <n v="20"/>
    <n v="15"/>
    <n v="15"/>
  </r>
  <r>
    <n v="3351"/>
    <x v="119"/>
    <x v="1"/>
    <d v="2024-06-25T00:00:00"/>
    <x v="1"/>
    <x v="1"/>
    <x v="0"/>
    <x v="1"/>
    <x v="1"/>
    <s v="No"/>
    <n v="0"/>
    <n v="1"/>
    <n v="4"/>
  </r>
  <r>
    <n v="3352"/>
    <x v="120"/>
    <x v="0"/>
    <d v="2024-06-26T00:00:00"/>
    <x v="0"/>
    <x v="0"/>
    <x v="2"/>
    <x v="0"/>
    <x v="0"/>
    <s v="Yes"/>
    <n v="20"/>
    <n v="7"/>
    <n v="58"/>
  </r>
  <r>
    <n v="3353"/>
    <x v="121"/>
    <x v="2"/>
    <d v="2024-06-27T00:00:00"/>
    <x v="1"/>
    <x v="2"/>
    <x v="0"/>
    <x v="1"/>
    <x v="1"/>
    <s v="Yes"/>
    <n v="20"/>
    <n v="10"/>
    <n v="20"/>
  </r>
  <r>
    <n v="3354"/>
    <x v="122"/>
    <x v="1"/>
    <d v="2024-06-28T00:00:00"/>
    <x v="0"/>
    <x v="1"/>
    <x v="1"/>
    <x v="1"/>
    <x v="1"/>
    <s v="No"/>
    <n v="0"/>
    <n v="0"/>
    <n v="5"/>
  </r>
  <r>
    <n v="3355"/>
    <x v="123"/>
    <x v="0"/>
    <d v="2024-06-29T00:00:00"/>
    <x v="1"/>
    <x v="0"/>
    <x v="0"/>
    <x v="0"/>
    <x v="0"/>
    <s v="Yes"/>
    <n v="20"/>
    <n v="20"/>
    <n v="45"/>
  </r>
  <r>
    <n v="3356"/>
    <x v="124"/>
    <x v="2"/>
    <d v="2024-06-30T00:00:00"/>
    <x v="0"/>
    <x v="2"/>
    <x v="2"/>
    <x v="1"/>
    <x v="1"/>
    <s v="Yes"/>
    <n v="20"/>
    <n v="15"/>
    <n v="15"/>
  </r>
  <r>
    <n v="3357"/>
    <x v="125"/>
    <x v="1"/>
    <d v="2024-07-01T00:00:00"/>
    <x v="1"/>
    <x v="1"/>
    <x v="0"/>
    <x v="1"/>
    <x v="1"/>
    <s v="No"/>
    <n v="0"/>
    <n v="1"/>
    <n v="4"/>
  </r>
  <r>
    <n v="3358"/>
    <x v="126"/>
    <x v="0"/>
    <d v="2024-07-02T00:00:00"/>
    <x v="0"/>
    <x v="0"/>
    <x v="1"/>
    <x v="0"/>
    <x v="0"/>
    <s v="Yes"/>
    <n v="20"/>
    <n v="3"/>
    <n v="62"/>
  </r>
  <r>
    <n v="3359"/>
    <x v="127"/>
    <x v="2"/>
    <d v="2024-07-03T00:00:00"/>
    <x v="1"/>
    <x v="2"/>
    <x v="0"/>
    <x v="1"/>
    <x v="1"/>
    <s v="Yes"/>
    <n v="20"/>
    <n v="10"/>
    <n v="20"/>
  </r>
  <r>
    <n v="3360"/>
    <x v="128"/>
    <x v="1"/>
    <d v="2024-07-04T00:00:00"/>
    <x v="0"/>
    <x v="1"/>
    <x v="2"/>
    <x v="1"/>
    <x v="1"/>
    <s v="No"/>
    <n v="0"/>
    <n v="0"/>
    <n v="5"/>
  </r>
  <r>
    <n v="3361"/>
    <x v="129"/>
    <x v="0"/>
    <d v="2024-07-05T00:00:00"/>
    <x v="1"/>
    <x v="0"/>
    <x v="0"/>
    <x v="0"/>
    <x v="0"/>
    <s v="Yes"/>
    <n v="20"/>
    <n v="15"/>
    <n v="50"/>
  </r>
  <r>
    <n v="3362"/>
    <x v="130"/>
    <x v="2"/>
    <d v="2024-07-06T00:00:00"/>
    <x v="0"/>
    <x v="2"/>
    <x v="1"/>
    <x v="1"/>
    <x v="1"/>
    <s v="Yes"/>
    <n v="20"/>
    <n v="15"/>
    <n v="15"/>
  </r>
  <r>
    <n v="3363"/>
    <x v="131"/>
    <x v="1"/>
    <d v="2024-07-07T00:00:00"/>
    <x v="1"/>
    <x v="1"/>
    <x v="0"/>
    <x v="1"/>
    <x v="1"/>
    <s v="No"/>
    <n v="0"/>
    <n v="1"/>
    <n v="4"/>
  </r>
  <r>
    <n v="3364"/>
    <x v="132"/>
    <x v="0"/>
    <d v="2024-07-08T00:00:00"/>
    <x v="0"/>
    <x v="0"/>
    <x v="2"/>
    <x v="0"/>
    <x v="0"/>
    <s v="Yes"/>
    <n v="20"/>
    <n v="7"/>
    <n v="58"/>
  </r>
  <r>
    <n v="3365"/>
    <x v="133"/>
    <x v="2"/>
    <d v="2024-07-09T00:00:00"/>
    <x v="1"/>
    <x v="2"/>
    <x v="0"/>
    <x v="1"/>
    <x v="1"/>
    <s v="Yes"/>
    <n v="20"/>
    <n v="10"/>
    <n v="20"/>
  </r>
  <r>
    <n v="3366"/>
    <x v="134"/>
    <x v="1"/>
    <d v="2024-07-10T00:00:00"/>
    <x v="0"/>
    <x v="1"/>
    <x v="0"/>
    <x v="1"/>
    <x v="1"/>
    <s v="No"/>
    <n v="0"/>
    <n v="0"/>
    <n v="5"/>
  </r>
  <r>
    <n v="3367"/>
    <x v="135"/>
    <x v="0"/>
    <d v="2024-07-11T00:00:00"/>
    <x v="1"/>
    <x v="0"/>
    <x v="2"/>
    <x v="0"/>
    <x v="0"/>
    <s v="Yes"/>
    <n v="20"/>
    <n v="7"/>
    <n v="58"/>
  </r>
  <r>
    <n v="3368"/>
    <x v="136"/>
    <x v="2"/>
    <d v="2024-07-12T00:00:00"/>
    <x v="0"/>
    <x v="2"/>
    <x v="1"/>
    <x v="1"/>
    <x v="1"/>
    <s v="Yes"/>
    <n v="20"/>
    <n v="10"/>
    <n v="20"/>
  </r>
  <r>
    <n v="3369"/>
    <x v="137"/>
    <x v="1"/>
    <d v="2024-07-13T00:00:00"/>
    <x v="1"/>
    <x v="1"/>
    <x v="2"/>
    <x v="1"/>
    <x v="1"/>
    <s v="No"/>
    <n v="0"/>
    <n v="1"/>
    <n v="4"/>
  </r>
  <r>
    <n v="3370"/>
    <x v="138"/>
    <x v="0"/>
    <d v="2024-07-14T00:00:00"/>
    <x v="0"/>
    <x v="0"/>
    <x v="0"/>
    <x v="0"/>
    <x v="0"/>
    <s v="Yes"/>
    <n v="20"/>
    <n v="15"/>
    <n v="50"/>
  </r>
  <r>
    <n v="3371"/>
    <x v="139"/>
    <x v="2"/>
    <d v="2024-07-15T00:00:00"/>
    <x v="1"/>
    <x v="2"/>
    <x v="0"/>
    <x v="1"/>
    <x v="1"/>
    <s v="Yes"/>
    <n v="20"/>
    <n v="5"/>
    <n v="25"/>
  </r>
  <r>
    <n v="3372"/>
    <x v="140"/>
    <x v="1"/>
    <d v="2024-07-16T00:00:00"/>
    <x v="0"/>
    <x v="1"/>
    <x v="1"/>
    <x v="1"/>
    <x v="1"/>
    <s v="No"/>
    <n v="0"/>
    <n v="0"/>
    <n v="5"/>
  </r>
  <r>
    <n v="3373"/>
    <x v="141"/>
    <x v="0"/>
    <d v="2024-07-17T00:00:00"/>
    <x v="1"/>
    <x v="0"/>
    <x v="2"/>
    <x v="0"/>
    <x v="0"/>
    <s v="Yes"/>
    <n v="20"/>
    <n v="20"/>
    <n v="45"/>
  </r>
  <r>
    <n v="3374"/>
    <x v="142"/>
    <x v="2"/>
    <d v="2024-07-18T00:00:00"/>
    <x v="0"/>
    <x v="2"/>
    <x v="2"/>
    <x v="1"/>
    <x v="1"/>
    <s v="Yes"/>
    <n v="20"/>
    <n v="12"/>
    <n v="18"/>
  </r>
  <r>
    <n v="3375"/>
    <x v="143"/>
    <x v="1"/>
    <d v="2024-07-19T00:00:00"/>
    <x v="1"/>
    <x v="1"/>
    <x v="0"/>
    <x v="1"/>
    <x v="1"/>
    <s v="No"/>
    <n v="0"/>
    <n v="2"/>
    <n v="3"/>
  </r>
  <r>
    <n v="3376"/>
    <x v="144"/>
    <x v="0"/>
    <d v="2024-07-20T00:00:00"/>
    <x v="0"/>
    <x v="0"/>
    <x v="1"/>
    <x v="0"/>
    <x v="0"/>
    <s v="Yes"/>
    <n v="20"/>
    <n v="5"/>
    <n v="60"/>
  </r>
  <r>
    <n v="3377"/>
    <x v="145"/>
    <x v="2"/>
    <d v="2024-07-21T00:00:00"/>
    <x v="1"/>
    <x v="2"/>
    <x v="0"/>
    <x v="1"/>
    <x v="1"/>
    <s v="Yes"/>
    <n v="20"/>
    <n v="10"/>
    <n v="20"/>
  </r>
  <r>
    <n v="3378"/>
    <x v="146"/>
    <x v="1"/>
    <d v="2024-07-22T00:00:00"/>
    <x v="0"/>
    <x v="1"/>
    <x v="2"/>
    <x v="1"/>
    <x v="1"/>
    <s v="No"/>
    <n v="0"/>
    <n v="0"/>
    <n v="5"/>
  </r>
  <r>
    <n v="3379"/>
    <x v="147"/>
    <x v="0"/>
    <d v="2024-07-23T00:00:00"/>
    <x v="1"/>
    <x v="0"/>
    <x v="0"/>
    <x v="0"/>
    <x v="0"/>
    <s v="Yes"/>
    <n v="20"/>
    <n v="3"/>
    <n v="62"/>
  </r>
  <r>
    <n v="3380"/>
    <x v="148"/>
    <x v="2"/>
    <d v="2024-07-24T00:00:00"/>
    <x v="0"/>
    <x v="2"/>
    <x v="1"/>
    <x v="1"/>
    <x v="1"/>
    <s v="Yes"/>
    <n v="20"/>
    <n v="15"/>
    <n v="15"/>
  </r>
  <r>
    <n v="3381"/>
    <x v="149"/>
    <x v="1"/>
    <d v="2024-07-25T00:00:00"/>
    <x v="1"/>
    <x v="1"/>
    <x v="0"/>
    <x v="1"/>
    <x v="1"/>
    <s v="No"/>
    <n v="0"/>
    <n v="1"/>
    <n v="4"/>
  </r>
  <r>
    <n v="3382"/>
    <x v="150"/>
    <x v="0"/>
    <d v="2024-07-26T00:00:00"/>
    <x v="0"/>
    <x v="0"/>
    <x v="2"/>
    <x v="0"/>
    <x v="0"/>
    <s v="Yes"/>
    <n v="20"/>
    <n v="7"/>
    <n v="58"/>
  </r>
  <r>
    <n v="3383"/>
    <x v="151"/>
    <x v="2"/>
    <d v="2024-07-27T00:00:00"/>
    <x v="1"/>
    <x v="2"/>
    <x v="0"/>
    <x v="1"/>
    <x v="1"/>
    <s v="Yes"/>
    <n v="20"/>
    <n v="10"/>
    <n v="20"/>
  </r>
  <r>
    <n v="3384"/>
    <x v="152"/>
    <x v="1"/>
    <d v="2024-07-28T00:00:00"/>
    <x v="0"/>
    <x v="1"/>
    <x v="1"/>
    <x v="1"/>
    <x v="1"/>
    <s v="No"/>
    <n v="0"/>
    <n v="0"/>
    <n v="5"/>
  </r>
  <r>
    <n v="3385"/>
    <x v="153"/>
    <x v="0"/>
    <d v="2024-07-29T00:00:00"/>
    <x v="1"/>
    <x v="0"/>
    <x v="0"/>
    <x v="0"/>
    <x v="0"/>
    <s v="Yes"/>
    <n v="20"/>
    <n v="20"/>
    <n v="45"/>
  </r>
  <r>
    <n v="3386"/>
    <x v="154"/>
    <x v="2"/>
    <d v="2024-07-30T00:00:00"/>
    <x v="0"/>
    <x v="2"/>
    <x v="2"/>
    <x v="1"/>
    <x v="1"/>
    <s v="Yes"/>
    <n v="20"/>
    <n v="15"/>
    <n v="15"/>
  </r>
  <r>
    <n v="3387"/>
    <x v="155"/>
    <x v="1"/>
    <d v="2024-07-31T00:00:00"/>
    <x v="1"/>
    <x v="1"/>
    <x v="0"/>
    <x v="1"/>
    <x v="1"/>
    <s v="No"/>
    <n v="0"/>
    <n v="1"/>
    <n v="4"/>
  </r>
  <r>
    <n v="3388"/>
    <x v="156"/>
    <x v="0"/>
    <d v="2024-08-01T00:00:00"/>
    <x v="0"/>
    <x v="0"/>
    <x v="1"/>
    <x v="0"/>
    <x v="0"/>
    <s v="Yes"/>
    <n v="20"/>
    <n v="3"/>
    <n v="62"/>
  </r>
  <r>
    <n v="3389"/>
    <x v="157"/>
    <x v="2"/>
    <d v="2024-08-02T00:00:00"/>
    <x v="1"/>
    <x v="2"/>
    <x v="0"/>
    <x v="1"/>
    <x v="1"/>
    <s v="Yes"/>
    <n v="20"/>
    <n v="10"/>
    <n v="20"/>
  </r>
  <r>
    <n v="3390"/>
    <x v="158"/>
    <x v="1"/>
    <d v="2024-08-03T00:00:00"/>
    <x v="0"/>
    <x v="1"/>
    <x v="2"/>
    <x v="1"/>
    <x v="1"/>
    <s v="No"/>
    <n v="0"/>
    <n v="0"/>
    <n v="5"/>
  </r>
  <r>
    <n v="3391"/>
    <x v="58"/>
    <x v="0"/>
    <d v="2024-08-04T00:00:00"/>
    <x v="1"/>
    <x v="0"/>
    <x v="0"/>
    <x v="0"/>
    <x v="0"/>
    <s v="Yes"/>
    <n v="20"/>
    <n v="15"/>
    <n v="50"/>
  </r>
  <r>
    <n v="3392"/>
    <x v="159"/>
    <x v="2"/>
    <d v="2024-08-05T00:00:00"/>
    <x v="0"/>
    <x v="2"/>
    <x v="1"/>
    <x v="1"/>
    <x v="1"/>
    <s v="Yes"/>
    <n v="20"/>
    <n v="15"/>
    <n v="15"/>
  </r>
  <r>
    <n v="3393"/>
    <x v="160"/>
    <x v="1"/>
    <d v="2024-08-06T00:00:00"/>
    <x v="1"/>
    <x v="1"/>
    <x v="0"/>
    <x v="1"/>
    <x v="1"/>
    <s v="No"/>
    <n v="0"/>
    <n v="1"/>
    <n v="4"/>
  </r>
  <r>
    <n v="3394"/>
    <x v="161"/>
    <x v="0"/>
    <d v="2024-08-07T00:00:00"/>
    <x v="0"/>
    <x v="0"/>
    <x v="2"/>
    <x v="0"/>
    <x v="0"/>
    <s v="Yes"/>
    <n v="20"/>
    <n v="7"/>
    <n v="58"/>
  </r>
  <r>
    <n v="3395"/>
    <x v="162"/>
    <x v="2"/>
    <d v="2024-08-08T00:00:00"/>
    <x v="1"/>
    <x v="2"/>
    <x v="0"/>
    <x v="1"/>
    <x v="1"/>
    <s v="Yes"/>
    <n v="20"/>
    <n v="10"/>
    <n v="20"/>
  </r>
  <r>
    <n v="3396"/>
    <x v="163"/>
    <x v="1"/>
    <d v="2024-08-09T00:00:00"/>
    <x v="0"/>
    <x v="1"/>
    <x v="1"/>
    <x v="1"/>
    <x v="1"/>
    <s v="No"/>
    <n v="0"/>
    <n v="0"/>
    <n v="5"/>
  </r>
  <r>
    <n v="3397"/>
    <x v="90"/>
    <x v="0"/>
    <d v="2024-08-10T00:00:00"/>
    <x v="1"/>
    <x v="0"/>
    <x v="0"/>
    <x v="0"/>
    <x v="0"/>
    <s v="Yes"/>
    <n v="20"/>
    <n v="20"/>
    <n v="45"/>
  </r>
  <r>
    <n v="3398"/>
    <x v="164"/>
    <x v="2"/>
    <d v="2024-08-11T00:00:00"/>
    <x v="0"/>
    <x v="2"/>
    <x v="2"/>
    <x v="1"/>
    <x v="1"/>
    <s v="Yes"/>
    <n v="20"/>
    <n v="15"/>
    <n v="15"/>
  </r>
  <r>
    <n v="3399"/>
    <x v="165"/>
    <x v="1"/>
    <d v="2024-08-12T00:00:00"/>
    <x v="1"/>
    <x v="1"/>
    <x v="0"/>
    <x v="1"/>
    <x v="1"/>
    <s v="No"/>
    <n v="0"/>
    <n v="1"/>
    <n v="4"/>
  </r>
  <r>
    <n v="3400"/>
    <x v="166"/>
    <x v="0"/>
    <d v="2024-08-13T00:00:00"/>
    <x v="0"/>
    <x v="0"/>
    <x v="1"/>
    <x v="0"/>
    <x v="0"/>
    <s v="Yes"/>
    <n v="20"/>
    <n v="5"/>
    <n v="60"/>
  </r>
  <r>
    <n v="3401"/>
    <x v="167"/>
    <x v="2"/>
    <d v="2024-08-14T00:00:00"/>
    <x v="1"/>
    <x v="2"/>
    <x v="0"/>
    <x v="1"/>
    <x v="1"/>
    <s v="Yes"/>
    <n v="20"/>
    <n v="10"/>
    <n v="20"/>
  </r>
  <r>
    <n v="3402"/>
    <x v="168"/>
    <x v="1"/>
    <d v="2024-08-15T00:00:00"/>
    <x v="0"/>
    <x v="1"/>
    <x v="2"/>
    <x v="1"/>
    <x v="1"/>
    <s v="No"/>
    <n v="0"/>
    <n v="0"/>
    <n v="5"/>
  </r>
  <r>
    <n v="3403"/>
    <x v="169"/>
    <x v="0"/>
    <d v="2024-08-16T00:00:00"/>
    <x v="1"/>
    <x v="0"/>
    <x v="0"/>
    <x v="0"/>
    <x v="0"/>
    <s v="Yes"/>
    <n v="20"/>
    <n v="3"/>
    <n v="62"/>
  </r>
  <r>
    <n v="3404"/>
    <x v="170"/>
    <x v="2"/>
    <d v="2024-08-17T00:00:00"/>
    <x v="0"/>
    <x v="2"/>
    <x v="1"/>
    <x v="1"/>
    <x v="1"/>
    <s v="Yes"/>
    <n v="20"/>
    <n v="15"/>
    <n v="15"/>
  </r>
  <r>
    <n v="3405"/>
    <x v="171"/>
    <x v="1"/>
    <d v="2024-08-18T00:00:00"/>
    <x v="1"/>
    <x v="1"/>
    <x v="0"/>
    <x v="1"/>
    <x v="1"/>
    <s v="No"/>
    <n v="0"/>
    <n v="1"/>
    <n v="4"/>
  </r>
  <r>
    <n v="3406"/>
    <x v="172"/>
    <x v="1"/>
    <d v="2024-08-19T00:00:00"/>
    <x v="0"/>
    <x v="1"/>
    <x v="0"/>
    <x v="1"/>
    <x v="1"/>
    <s v="No"/>
    <n v="0"/>
    <n v="0"/>
    <n v="5"/>
  </r>
  <r>
    <n v="3407"/>
    <x v="173"/>
    <x v="0"/>
    <d v="2024-08-20T00:00:00"/>
    <x v="1"/>
    <x v="0"/>
    <x v="2"/>
    <x v="0"/>
    <x v="0"/>
    <s v="Yes"/>
    <n v="20"/>
    <n v="7"/>
    <n v="58"/>
  </r>
  <r>
    <n v="3408"/>
    <x v="174"/>
    <x v="2"/>
    <d v="2024-08-21T00:00:00"/>
    <x v="0"/>
    <x v="2"/>
    <x v="1"/>
    <x v="1"/>
    <x v="1"/>
    <s v="Yes"/>
    <n v="20"/>
    <n v="10"/>
    <n v="20"/>
  </r>
  <r>
    <n v="3409"/>
    <x v="175"/>
    <x v="1"/>
    <d v="2024-08-22T00:00:00"/>
    <x v="1"/>
    <x v="1"/>
    <x v="2"/>
    <x v="1"/>
    <x v="1"/>
    <s v="No"/>
    <n v="0"/>
    <n v="1"/>
    <n v="4"/>
  </r>
  <r>
    <n v="3410"/>
    <x v="176"/>
    <x v="0"/>
    <d v="2024-08-23T00:00:00"/>
    <x v="0"/>
    <x v="0"/>
    <x v="0"/>
    <x v="0"/>
    <x v="0"/>
    <s v="Yes"/>
    <n v="20"/>
    <n v="15"/>
    <n v="50"/>
  </r>
  <r>
    <n v="3411"/>
    <x v="177"/>
    <x v="2"/>
    <d v="2024-08-24T00:00:00"/>
    <x v="1"/>
    <x v="2"/>
    <x v="0"/>
    <x v="1"/>
    <x v="1"/>
    <s v="Yes"/>
    <n v="20"/>
    <n v="5"/>
    <n v="25"/>
  </r>
  <r>
    <n v="3412"/>
    <x v="178"/>
    <x v="1"/>
    <d v="2024-08-25T00:00:00"/>
    <x v="0"/>
    <x v="1"/>
    <x v="1"/>
    <x v="1"/>
    <x v="1"/>
    <s v="No"/>
    <n v="0"/>
    <n v="0"/>
    <n v="5"/>
  </r>
  <r>
    <n v="3413"/>
    <x v="179"/>
    <x v="0"/>
    <d v="2024-08-26T00:00:00"/>
    <x v="1"/>
    <x v="0"/>
    <x v="2"/>
    <x v="0"/>
    <x v="0"/>
    <s v="Yes"/>
    <n v="20"/>
    <n v="20"/>
    <n v="45"/>
  </r>
  <r>
    <n v="3414"/>
    <x v="180"/>
    <x v="2"/>
    <d v="2024-08-27T00:00:00"/>
    <x v="0"/>
    <x v="2"/>
    <x v="2"/>
    <x v="1"/>
    <x v="1"/>
    <s v="Yes"/>
    <n v="20"/>
    <n v="12"/>
    <n v="18"/>
  </r>
  <r>
    <n v="3415"/>
    <x v="181"/>
    <x v="1"/>
    <d v="2024-08-28T00:00:00"/>
    <x v="1"/>
    <x v="1"/>
    <x v="0"/>
    <x v="1"/>
    <x v="1"/>
    <s v="No"/>
    <n v="0"/>
    <n v="2"/>
    <n v="3"/>
  </r>
  <r>
    <n v="3416"/>
    <x v="182"/>
    <x v="0"/>
    <d v="2024-08-29T00:00:00"/>
    <x v="0"/>
    <x v="0"/>
    <x v="1"/>
    <x v="0"/>
    <x v="0"/>
    <s v="Yes"/>
    <n v="20"/>
    <n v="5"/>
    <n v="60"/>
  </r>
  <r>
    <n v="3417"/>
    <x v="183"/>
    <x v="2"/>
    <d v="2024-08-30T00:00:00"/>
    <x v="1"/>
    <x v="2"/>
    <x v="0"/>
    <x v="1"/>
    <x v="1"/>
    <s v="Yes"/>
    <n v="20"/>
    <n v="10"/>
    <n v="20"/>
  </r>
  <r>
    <n v="3418"/>
    <x v="184"/>
    <x v="1"/>
    <d v="2024-08-31T00:00:00"/>
    <x v="0"/>
    <x v="1"/>
    <x v="2"/>
    <x v="1"/>
    <x v="1"/>
    <s v="No"/>
    <n v="0"/>
    <n v="0"/>
    <n v="5"/>
  </r>
  <r>
    <n v="3419"/>
    <x v="185"/>
    <x v="0"/>
    <d v="2024-09-01T00:00:00"/>
    <x v="1"/>
    <x v="0"/>
    <x v="0"/>
    <x v="0"/>
    <x v="0"/>
    <s v="Yes"/>
    <n v="20"/>
    <n v="3"/>
    <n v="62"/>
  </r>
  <r>
    <n v="3420"/>
    <x v="186"/>
    <x v="2"/>
    <d v="2024-09-02T00:00:00"/>
    <x v="0"/>
    <x v="2"/>
    <x v="1"/>
    <x v="1"/>
    <x v="1"/>
    <s v="Yes"/>
    <n v="20"/>
    <n v="15"/>
    <n v="15"/>
  </r>
  <r>
    <n v="3421"/>
    <x v="15"/>
    <x v="1"/>
    <d v="2024-09-03T00:00:00"/>
    <x v="1"/>
    <x v="1"/>
    <x v="0"/>
    <x v="1"/>
    <x v="1"/>
    <s v="No"/>
    <n v="0"/>
    <n v="1"/>
    <n v="4"/>
  </r>
  <r>
    <n v="3422"/>
    <x v="187"/>
    <x v="0"/>
    <d v="2024-09-04T00:00:00"/>
    <x v="0"/>
    <x v="0"/>
    <x v="2"/>
    <x v="0"/>
    <x v="0"/>
    <s v="Yes"/>
    <n v="20"/>
    <n v="7"/>
    <n v="58"/>
  </r>
  <r>
    <n v="3423"/>
    <x v="188"/>
    <x v="2"/>
    <d v="2024-09-05T00:00:00"/>
    <x v="1"/>
    <x v="2"/>
    <x v="0"/>
    <x v="1"/>
    <x v="1"/>
    <s v="Yes"/>
    <n v="20"/>
    <n v="10"/>
    <n v="20"/>
  </r>
  <r>
    <n v="3424"/>
    <x v="14"/>
    <x v="1"/>
    <d v="2024-09-06T00:00:00"/>
    <x v="0"/>
    <x v="1"/>
    <x v="1"/>
    <x v="1"/>
    <x v="1"/>
    <s v="No"/>
    <n v="0"/>
    <n v="0"/>
    <n v="5"/>
  </r>
  <r>
    <n v="3425"/>
    <x v="189"/>
    <x v="0"/>
    <d v="2024-09-07T00:00:00"/>
    <x v="1"/>
    <x v="0"/>
    <x v="0"/>
    <x v="0"/>
    <x v="0"/>
    <s v="Yes"/>
    <n v="20"/>
    <n v="20"/>
    <n v="45"/>
  </r>
  <r>
    <n v="3426"/>
    <x v="167"/>
    <x v="2"/>
    <d v="2024-09-08T00:00:00"/>
    <x v="0"/>
    <x v="2"/>
    <x v="2"/>
    <x v="1"/>
    <x v="1"/>
    <s v="Yes"/>
    <n v="20"/>
    <n v="15"/>
    <n v="15"/>
  </r>
  <r>
    <n v="3427"/>
    <x v="190"/>
    <x v="1"/>
    <d v="2024-09-09T00:00:00"/>
    <x v="1"/>
    <x v="1"/>
    <x v="0"/>
    <x v="1"/>
    <x v="1"/>
    <s v="No"/>
    <n v="0"/>
    <n v="1"/>
    <n v="4"/>
  </r>
  <r>
    <n v="3428"/>
    <x v="191"/>
    <x v="0"/>
    <d v="2024-09-10T00:00:00"/>
    <x v="0"/>
    <x v="0"/>
    <x v="1"/>
    <x v="0"/>
    <x v="0"/>
    <s v="Yes"/>
    <n v="20"/>
    <n v="3"/>
    <n v="62"/>
  </r>
  <r>
    <n v="3429"/>
    <x v="192"/>
    <x v="2"/>
    <d v="2024-09-11T00:00:00"/>
    <x v="1"/>
    <x v="2"/>
    <x v="0"/>
    <x v="1"/>
    <x v="1"/>
    <s v="Yes"/>
    <n v="20"/>
    <n v="10"/>
    <n v="20"/>
  </r>
  <r>
    <n v="3430"/>
    <x v="193"/>
    <x v="1"/>
    <d v="2024-09-12T00:00:00"/>
    <x v="0"/>
    <x v="1"/>
    <x v="2"/>
    <x v="1"/>
    <x v="1"/>
    <s v="No"/>
    <n v="0"/>
    <n v="0"/>
    <n v="5"/>
  </r>
  <r>
    <n v="3431"/>
    <x v="194"/>
    <x v="0"/>
    <d v="2024-09-13T00:00:00"/>
    <x v="1"/>
    <x v="0"/>
    <x v="0"/>
    <x v="0"/>
    <x v="0"/>
    <s v="Yes"/>
    <n v="20"/>
    <n v="15"/>
    <n v="50"/>
  </r>
  <r>
    <n v="3432"/>
    <x v="195"/>
    <x v="2"/>
    <d v="2024-09-14T00:00:00"/>
    <x v="0"/>
    <x v="2"/>
    <x v="1"/>
    <x v="1"/>
    <x v="1"/>
    <s v="Yes"/>
    <n v="20"/>
    <n v="15"/>
    <n v="15"/>
  </r>
  <r>
    <n v="3433"/>
    <x v="196"/>
    <x v="1"/>
    <d v="2024-09-15T00:00:00"/>
    <x v="1"/>
    <x v="1"/>
    <x v="0"/>
    <x v="1"/>
    <x v="1"/>
    <s v="No"/>
    <n v="0"/>
    <n v="1"/>
    <n v="4"/>
  </r>
  <r>
    <n v="3434"/>
    <x v="197"/>
    <x v="0"/>
    <d v="2024-09-16T00:00:00"/>
    <x v="0"/>
    <x v="0"/>
    <x v="2"/>
    <x v="0"/>
    <x v="0"/>
    <s v="Yes"/>
    <n v="20"/>
    <n v="7"/>
    <n v="58"/>
  </r>
  <r>
    <n v="3435"/>
    <x v="198"/>
    <x v="2"/>
    <d v="2024-09-17T00:00:00"/>
    <x v="1"/>
    <x v="2"/>
    <x v="0"/>
    <x v="1"/>
    <x v="1"/>
    <s v="Yes"/>
    <n v="20"/>
    <n v="10"/>
    <n v="20"/>
  </r>
  <r>
    <n v="3436"/>
    <x v="199"/>
    <x v="1"/>
    <d v="2024-09-18T00:00:00"/>
    <x v="0"/>
    <x v="1"/>
    <x v="0"/>
    <x v="1"/>
    <x v="1"/>
    <s v="No"/>
    <n v="0"/>
    <n v="0"/>
    <n v="5"/>
  </r>
  <r>
    <n v="3437"/>
    <x v="200"/>
    <x v="0"/>
    <d v="2024-09-19T00:00:00"/>
    <x v="1"/>
    <x v="0"/>
    <x v="2"/>
    <x v="0"/>
    <x v="0"/>
    <s v="Yes"/>
    <n v="20"/>
    <n v="7"/>
    <n v="58"/>
  </r>
  <r>
    <n v="3438"/>
    <x v="201"/>
    <x v="2"/>
    <d v="2024-09-20T00:00:00"/>
    <x v="0"/>
    <x v="2"/>
    <x v="1"/>
    <x v="1"/>
    <x v="1"/>
    <s v="Yes"/>
    <n v="20"/>
    <n v="10"/>
    <n v="20"/>
  </r>
  <r>
    <n v="3439"/>
    <x v="202"/>
    <x v="1"/>
    <d v="2024-09-21T00:00:00"/>
    <x v="1"/>
    <x v="1"/>
    <x v="2"/>
    <x v="1"/>
    <x v="1"/>
    <s v="No"/>
    <n v="0"/>
    <n v="1"/>
    <n v="4"/>
  </r>
  <r>
    <n v="3440"/>
    <x v="203"/>
    <x v="0"/>
    <d v="2024-09-22T00:00:00"/>
    <x v="0"/>
    <x v="0"/>
    <x v="0"/>
    <x v="0"/>
    <x v="0"/>
    <s v="Yes"/>
    <n v="20"/>
    <n v="15"/>
    <n v="50"/>
  </r>
  <r>
    <n v="3441"/>
    <x v="204"/>
    <x v="2"/>
    <d v="2024-09-23T00:00:00"/>
    <x v="1"/>
    <x v="2"/>
    <x v="0"/>
    <x v="1"/>
    <x v="1"/>
    <s v="Yes"/>
    <n v="20"/>
    <n v="5"/>
    <n v="25"/>
  </r>
  <r>
    <n v="3442"/>
    <x v="205"/>
    <x v="1"/>
    <d v="2024-09-24T00:00:00"/>
    <x v="0"/>
    <x v="1"/>
    <x v="1"/>
    <x v="1"/>
    <x v="1"/>
    <s v="No"/>
    <n v="0"/>
    <n v="0"/>
    <n v="5"/>
  </r>
  <r>
    <n v="3443"/>
    <x v="206"/>
    <x v="0"/>
    <d v="2024-09-25T00:00:00"/>
    <x v="1"/>
    <x v="0"/>
    <x v="2"/>
    <x v="0"/>
    <x v="0"/>
    <s v="Yes"/>
    <n v="20"/>
    <n v="20"/>
    <n v="45"/>
  </r>
  <r>
    <n v="3444"/>
    <x v="207"/>
    <x v="2"/>
    <d v="2024-09-26T00:00:00"/>
    <x v="0"/>
    <x v="2"/>
    <x v="2"/>
    <x v="1"/>
    <x v="1"/>
    <s v="Yes"/>
    <n v="20"/>
    <n v="12"/>
    <n v="18"/>
  </r>
  <r>
    <n v="3445"/>
    <x v="37"/>
    <x v="1"/>
    <d v="2024-09-27T00:00:00"/>
    <x v="1"/>
    <x v="1"/>
    <x v="0"/>
    <x v="1"/>
    <x v="1"/>
    <s v="No"/>
    <n v="0"/>
    <n v="2"/>
    <n v="3"/>
  </r>
  <r>
    <n v="3446"/>
    <x v="208"/>
    <x v="0"/>
    <d v="2024-09-28T00:00:00"/>
    <x v="0"/>
    <x v="0"/>
    <x v="1"/>
    <x v="0"/>
    <x v="0"/>
    <s v="Yes"/>
    <n v="20"/>
    <n v="5"/>
    <n v="60"/>
  </r>
  <r>
    <n v="3447"/>
    <x v="209"/>
    <x v="2"/>
    <d v="2024-09-29T00:00:00"/>
    <x v="1"/>
    <x v="2"/>
    <x v="0"/>
    <x v="1"/>
    <x v="1"/>
    <s v="Yes"/>
    <n v="20"/>
    <n v="10"/>
    <n v="20"/>
  </r>
  <r>
    <n v="3448"/>
    <x v="210"/>
    <x v="1"/>
    <d v="2024-09-30T00:00:00"/>
    <x v="0"/>
    <x v="1"/>
    <x v="2"/>
    <x v="1"/>
    <x v="1"/>
    <s v="No"/>
    <n v="0"/>
    <n v="0"/>
    <n v="5"/>
  </r>
  <r>
    <n v="3449"/>
    <x v="211"/>
    <x v="0"/>
    <d v="2024-10-01T00:00:00"/>
    <x v="1"/>
    <x v="0"/>
    <x v="0"/>
    <x v="0"/>
    <x v="0"/>
    <s v="Yes"/>
    <n v="20"/>
    <n v="3"/>
    <n v="62"/>
  </r>
  <r>
    <n v="3450"/>
    <x v="212"/>
    <x v="2"/>
    <d v="2024-10-02T00:00:00"/>
    <x v="0"/>
    <x v="2"/>
    <x v="1"/>
    <x v="1"/>
    <x v="1"/>
    <s v="Yes"/>
    <n v="20"/>
    <n v="15"/>
    <n v="15"/>
  </r>
  <r>
    <n v="3451"/>
    <x v="213"/>
    <x v="1"/>
    <d v="2024-10-03T00:00:00"/>
    <x v="1"/>
    <x v="1"/>
    <x v="0"/>
    <x v="1"/>
    <x v="1"/>
    <s v="No"/>
    <n v="0"/>
    <n v="1"/>
    <n v="4"/>
  </r>
  <r>
    <n v="3452"/>
    <x v="191"/>
    <x v="0"/>
    <d v="2024-10-04T00:00:00"/>
    <x v="0"/>
    <x v="0"/>
    <x v="2"/>
    <x v="0"/>
    <x v="0"/>
    <s v="Yes"/>
    <n v="20"/>
    <n v="7"/>
    <n v="58"/>
  </r>
  <r>
    <n v="3453"/>
    <x v="45"/>
    <x v="2"/>
    <d v="2024-10-05T00:00:00"/>
    <x v="1"/>
    <x v="2"/>
    <x v="0"/>
    <x v="1"/>
    <x v="1"/>
    <s v="Yes"/>
    <n v="20"/>
    <n v="10"/>
    <n v="20"/>
  </r>
  <r>
    <n v="3454"/>
    <x v="214"/>
    <x v="1"/>
    <d v="2024-10-06T00:00:00"/>
    <x v="0"/>
    <x v="1"/>
    <x v="1"/>
    <x v="1"/>
    <x v="1"/>
    <s v="No"/>
    <n v="0"/>
    <n v="0"/>
    <n v="5"/>
  </r>
  <r>
    <n v="3455"/>
    <x v="215"/>
    <x v="0"/>
    <d v="2024-10-07T00:00:00"/>
    <x v="1"/>
    <x v="0"/>
    <x v="0"/>
    <x v="0"/>
    <x v="0"/>
    <s v="Yes"/>
    <n v="20"/>
    <n v="20"/>
    <n v="45"/>
  </r>
  <r>
    <n v="3456"/>
    <x v="216"/>
    <x v="2"/>
    <d v="2024-10-08T00:00:00"/>
    <x v="0"/>
    <x v="2"/>
    <x v="2"/>
    <x v="1"/>
    <x v="1"/>
    <s v="Yes"/>
    <n v="20"/>
    <n v="15"/>
    <n v="15"/>
  </r>
  <r>
    <n v="3457"/>
    <x v="217"/>
    <x v="1"/>
    <d v="2024-10-09T00:00:00"/>
    <x v="1"/>
    <x v="1"/>
    <x v="0"/>
    <x v="1"/>
    <x v="1"/>
    <s v="No"/>
    <n v="0"/>
    <n v="1"/>
    <n v="4"/>
  </r>
  <r>
    <n v="3458"/>
    <x v="218"/>
    <x v="0"/>
    <d v="2024-10-10T00:00:00"/>
    <x v="0"/>
    <x v="0"/>
    <x v="1"/>
    <x v="0"/>
    <x v="0"/>
    <s v="Yes"/>
    <n v="20"/>
    <n v="3"/>
    <n v="62"/>
  </r>
  <r>
    <n v="3459"/>
    <x v="219"/>
    <x v="2"/>
    <d v="2024-10-11T00:00:00"/>
    <x v="1"/>
    <x v="2"/>
    <x v="0"/>
    <x v="1"/>
    <x v="1"/>
    <s v="Yes"/>
    <n v="20"/>
    <n v="10"/>
    <n v="20"/>
  </r>
  <r>
    <n v="3460"/>
    <x v="127"/>
    <x v="1"/>
    <d v="2024-10-12T00:00:00"/>
    <x v="0"/>
    <x v="1"/>
    <x v="2"/>
    <x v="1"/>
    <x v="1"/>
    <s v="No"/>
    <n v="0"/>
    <n v="0"/>
    <n v="5"/>
  </r>
  <r>
    <n v="3461"/>
    <x v="220"/>
    <x v="0"/>
    <d v="2024-10-13T00:00:00"/>
    <x v="1"/>
    <x v="0"/>
    <x v="0"/>
    <x v="0"/>
    <x v="0"/>
    <s v="Yes"/>
    <n v="20"/>
    <n v="15"/>
    <n v="50"/>
  </r>
  <r>
    <n v="3462"/>
    <x v="221"/>
    <x v="2"/>
    <d v="2024-10-14T00:00:00"/>
    <x v="0"/>
    <x v="2"/>
    <x v="1"/>
    <x v="1"/>
    <x v="1"/>
    <s v="Yes"/>
    <n v="20"/>
    <n v="15"/>
    <n v="15"/>
  </r>
  <r>
    <n v="3463"/>
    <x v="222"/>
    <x v="1"/>
    <d v="2024-10-15T00:00:00"/>
    <x v="1"/>
    <x v="1"/>
    <x v="0"/>
    <x v="1"/>
    <x v="1"/>
    <s v="No"/>
    <n v="0"/>
    <n v="1"/>
    <n v="4"/>
  </r>
  <r>
    <n v="3464"/>
    <x v="223"/>
    <x v="0"/>
    <d v="2024-10-16T00:00:00"/>
    <x v="0"/>
    <x v="0"/>
    <x v="2"/>
    <x v="0"/>
    <x v="0"/>
    <s v="Yes"/>
    <n v="20"/>
    <n v="7"/>
    <n v="58"/>
  </r>
  <r>
    <n v="3465"/>
    <x v="224"/>
    <x v="2"/>
    <d v="2024-10-17T00:00:00"/>
    <x v="1"/>
    <x v="2"/>
    <x v="0"/>
    <x v="1"/>
    <x v="1"/>
    <s v="Yes"/>
    <n v="20"/>
    <n v="10"/>
    <n v="20"/>
  </r>
  <r>
    <n v="3466"/>
    <x v="225"/>
    <x v="1"/>
    <d v="2024-10-18T00:00:00"/>
    <x v="0"/>
    <x v="1"/>
    <x v="1"/>
    <x v="1"/>
    <x v="1"/>
    <s v="No"/>
    <n v="0"/>
    <n v="0"/>
    <n v="5"/>
  </r>
  <r>
    <n v="3467"/>
    <x v="226"/>
    <x v="0"/>
    <d v="2024-10-19T00:00:00"/>
    <x v="1"/>
    <x v="0"/>
    <x v="0"/>
    <x v="0"/>
    <x v="0"/>
    <s v="Yes"/>
    <n v="20"/>
    <n v="15"/>
    <n v="50"/>
  </r>
  <r>
    <n v="3468"/>
    <x v="227"/>
    <x v="2"/>
    <d v="2024-10-20T00:00:00"/>
    <x v="0"/>
    <x v="2"/>
    <x v="2"/>
    <x v="1"/>
    <x v="1"/>
    <s v="Yes"/>
    <n v="20"/>
    <n v="12"/>
    <n v="18"/>
  </r>
  <r>
    <n v="3469"/>
    <x v="228"/>
    <x v="1"/>
    <d v="2024-10-21T00:00:00"/>
    <x v="1"/>
    <x v="1"/>
    <x v="0"/>
    <x v="1"/>
    <x v="1"/>
    <s v="No"/>
    <n v="0"/>
    <n v="2"/>
    <n v="3"/>
  </r>
  <r>
    <n v="3470"/>
    <x v="229"/>
    <x v="0"/>
    <d v="2024-10-22T00:00:00"/>
    <x v="0"/>
    <x v="0"/>
    <x v="1"/>
    <x v="0"/>
    <x v="0"/>
    <s v="Yes"/>
    <n v="20"/>
    <n v="5"/>
    <n v="60"/>
  </r>
  <r>
    <n v="3471"/>
    <x v="230"/>
    <x v="2"/>
    <d v="2024-10-23T00:00:00"/>
    <x v="1"/>
    <x v="2"/>
    <x v="0"/>
    <x v="1"/>
    <x v="1"/>
    <s v="Yes"/>
    <n v="20"/>
    <n v="10"/>
    <n v="20"/>
  </r>
  <r>
    <n v="3472"/>
    <x v="231"/>
    <x v="1"/>
    <d v="2024-10-24T00:00:00"/>
    <x v="0"/>
    <x v="1"/>
    <x v="2"/>
    <x v="1"/>
    <x v="1"/>
    <s v="No"/>
    <n v="0"/>
    <n v="0"/>
    <n v="5"/>
  </r>
  <r>
    <n v="3473"/>
    <x v="140"/>
    <x v="0"/>
    <d v="2024-10-25T00:00:00"/>
    <x v="1"/>
    <x v="0"/>
    <x v="0"/>
    <x v="0"/>
    <x v="0"/>
    <s v="Yes"/>
    <n v="20"/>
    <n v="3"/>
    <n v="62"/>
  </r>
  <r>
    <n v="3474"/>
    <x v="232"/>
    <x v="2"/>
    <d v="2024-10-26T00:00:00"/>
    <x v="0"/>
    <x v="2"/>
    <x v="1"/>
    <x v="1"/>
    <x v="1"/>
    <s v="Yes"/>
    <n v="20"/>
    <n v="15"/>
    <n v="15"/>
  </r>
  <r>
    <n v="3475"/>
    <x v="233"/>
    <x v="1"/>
    <d v="2024-10-27T00:00:00"/>
    <x v="1"/>
    <x v="1"/>
    <x v="0"/>
    <x v="1"/>
    <x v="1"/>
    <s v="No"/>
    <n v="0"/>
    <n v="1"/>
    <n v="4"/>
  </r>
  <r>
    <n v="3476"/>
    <x v="234"/>
    <x v="0"/>
    <d v="2024-10-28T00:00:00"/>
    <x v="0"/>
    <x v="0"/>
    <x v="2"/>
    <x v="0"/>
    <x v="0"/>
    <s v="Yes"/>
    <n v="20"/>
    <n v="7"/>
    <n v="58"/>
  </r>
  <r>
    <n v="3477"/>
    <x v="235"/>
    <x v="2"/>
    <d v="2024-10-29T00:00:00"/>
    <x v="1"/>
    <x v="2"/>
    <x v="0"/>
    <x v="1"/>
    <x v="1"/>
    <s v="Yes"/>
    <n v="20"/>
    <n v="10"/>
    <n v="20"/>
  </r>
  <r>
    <n v="3478"/>
    <x v="236"/>
    <x v="1"/>
    <d v="2024-10-30T00:00:00"/>
    <x v="0"/>
    <x v="1"/>
    <x v="1"/>
    <x v="1"/>
    <x v="1"/>
    <s v="No"/>
    <n v="0"/>
    <n v="0"/>
    <n v="5"/>
  </r>
  <r>
    <n v="3479"/>
    <x v="237"/>
    <x v="0"/>
    <d v="2024-10-31T00:00:00"/>
    <x v="1"/>
    <x v="0"/>
    <x v="0"/>
    <x v="0"/>
    <x v="0"/>
    <s v="Yes"/>
    <n v="20"/>
    <n v="20"/>
    <n v="45"/>
  </r>
  <r>
    <n v="3480"/>
    <x v="238"/>
    <x v="2"/>
    <d v="2024-11-01T00:00:00"/>
    <x v="0"/>
    <x v="2"/>
    <x v="2"/>
    <x v="1"/>
    <x v="1"/>
    <s v="Yes"/>
    <n v="20"/>
    <n v="15"/>
    <n v="15"/>
  </r>
  <r>
    <n v="3481"/>
    <x v="239"/>
    <x v="1"/>
    <d v="2024-11-02T00:00:00"/>
    <x v="1"/>
    <x v="1"/>
    <x v="0"/>
    <x v="1"/>
    <x v="1"/>
    <s v="No"/>
    <n v="0"/>
    <n v="1"/>
    <n v="4"/>
  </r>
  <r>
    <n v="3482"/>
    <x v="240"/>
    <x v="0"/>
    <d v="2024-11-03T00:00:00"/>
    <x v="0"/>
    <x v="0"/>
    <x v="1"/>
    <x v="0"/>
    <x v="0"/>
    <s v="Yes"/>
    <n v="20"/>
    <n v="3"/>
    <n v="62"/>
  </r>
  <r>
    <n v="3483"/>
    <x v="241"/>
    <x v="2"/>
    <d v="2024-11-04T00:00:00"/>
    <x v="1"/>
    <x v="2"/>
    <x v="0"/>
    <x v="1"/>
    <x v="1"/>
    <s v="Yes"/>
    <n v="20"/>
    <n v="10"/>
    <n v="20"/>
  </r>
  <r>
    <n v="3484"/>
    <x v="242"/>
    <x v="1"/>
    <d v="2024-11-05T00:00:00"/>
    <x v="0"/>
    <x v="1"/>
    <x v="2"/>
    <x v="1"/>
    <x v="1"/>
    <s v="No"/>
    <n v="0"/>
    <n v="0"/>
    <n v="5"/>
  </r>
  <r>
    <n v="3485"/>
    <x v="243"/>
    <x v="0"/>
    <d v="2024-11-06T00:00:00"/>
    <x v="1"/>
    <x v="0"/>
    <x v="0"/>
    <x v="0"/>
    <x v="0"/>
    <s v="Yes"/>
    <n v="20"/>
    <n v="15"/>
    <n v="50"/>
  </r>
  <r>
    <n v="3486"/>
    <x v="244"/>
    <x v="1"/>
    <d v="2024-11-07T00:00:00"/>
    <x v="0"/>
    <x v="1"/>
    <x v="0"/>
    <x v="1"/>
    <x v="1"/>
    <s v="No"/>
    <n v="0"/>
    <n v="0"/>
    <n v="5"/>
  </r>
  <r>
    <n v="3487"/>
    <x v="245"/>
    <x v="0"/>
    <d v="2024-11-08T00:00:00"/>
    <x v="1"/>
    <x v="0"/>
    <x v="2"/>
    <x v="0"/>
    <x v="0"/>
    <s v="Yes"/>
    <n v="20"/>
    <n v="7"/>
    <n v="58"/>
  </r>
  <r>
    <n v="3488"/>
    <x v="246"/>
    <x v="2"/>
    <d v="2024-11-09T00:00:00"/>
    <x v="0"/>
    <x v="2"/>
    <x v="1"/>
    <x v="1"/>
    <x v="1"/>
    <s v="Yes"/>
    <n v="20"/>
    <n v="10"/>
    <n v="20"/>
  </r>
  <r>
    <n v="3489"/>
    <x v="247"/>
    <x v="1"/>
    <d v="2024-11-10T00:00:00"/>
    <x v="1"/>
    <x v="1"/>
    <x v="2"/>
    <x v="1"/>
    <x v="1"/>
    <s v="No"/>
    <n v="0"/>
    <n v="1"/>
    <n v="4"/>
  </r>
  <r>
    <n v="3490"/>
    <x v="248"/>
    <x v="0"/>
    <d v="2024-11-11T00:00:00"/>
    <x v="0"/>
    <x v="0"/>
    <x v="0"/>
    <x v="0"/>
    <x v="0"/>
    <s v="Yes"/>
    <n v="20"/>
    <n v="15"/>
    <n v="50"/>
  </r>
  <r>
    <n v="3491"/>
    <x v="249"/>
    <x v="2"/>
    <d v="2024-11-12T00:00:00"/>
    <x v="1"/>
    <x v="2"/>
    <x v="0"/>
    <x v="1"/>
    <x v="1"/>
    <s v="Yes"/>
    <n v="20"/>
    <n v="5"/>
    <n v="25"/>
  </r>
  <r>
    <n v="3492"/>
    <x v="250"/>
    <x v="1"/>
    <d v="2024-11-13T00:00:00"/>
    <x v="0"/>
    <x v="1"/>
    <x v="1"/>
    <x v="1"/>
    <x v="1"/>
    <s v="No"/>
    <n v="0"/>
    <n v="0"/>
    <n v="5"/>
  </r>
  <r>
    <n v="3493"/>
    <x v="251"/>
    <x v="0"/>
    <d v="2024-11-14T00:00:00"/>
    <x v="1"/>
    <x v="0"/>
    <x v="2"/>
    <x v="0"/>
    <x v="0"/>
    <s v="Yes"/>
    <n v="20"/>
    <n v="20"/>
    <n v="45"/>
  </r>
  <r>
    <n v="3494"/>
    <x v="252"/>
    <x v="2"/>
    <d v="2024-11-15T00:00:00"/>
    <x v="0"/>
    <x v="2"/>
    <x v="2"/>
    <x v="1"/>
    <x v="1"/>
    <s v="Yes"/>
    <n v="20"/>
    <n v="12"/>
    <n v="18"/>
  </r>
  <r>
    <n v="3495"/>
    <x v="253"/>
    <x v="1"/>
    <d v="2024-11-16T00:00:00"/>
    <x v="1"/>
    <x v="1"/>
    <x v="0"/>
    <x v="1"/>
    <x v="1"/>
    <s v="No"/>
    <n v="0"/>
    <n v="2"/>
    <n v="3"/>
  </r>
  <r>
    <n v="3496"/>
    <x v="254"/>
    <x v="0"/>
    <d v="2024-11-17T00:00:00"/>
    <x v="0"/>
    <x v="0"/>
    <x v="1"/>
    <x v="0"/>
    <x v="0"/>
    <s v="Yes"/>
    <n v="20"/>
    <n v="5"/>
    <n v="60"/>
  </r>
  <r>
    <n v="3497"/>
    <x v="255"/>
    <x v="2"/>
    <d v="2024-11-18T00:00:00"/>
    <x v="1"/>
    <x v="2"/>
    <x v="0"/>
    <x v="1"/>
    <x v="1"/>
    <s v="Yes"/>
    <n v="20"/>
    <n v="10"/>
    <n v="20"/>
  </r>
  <r>
    <n v="3498"/>
    <x v="256"/>
    <x v="1"/>
    <d v="2024-11-19T00:00:00"/>
    <x v="0"/>
    <x v="1"/>
    <x v="2"/>
    <x v="1"/>
    <x v="1"/>
    <s v="No"/>
    <n v="0"/>
    <n v="0"/>
    <n v="5"/>
  </r>
  <r>
    <n v="3499"/>
    <x v="257"/>
    <x v="0"/>
    <d v="2024-11-20T00:00:00"/>
    <x v="1"/>
    <x v="0"/>
    <x v="0"/>
    <x v="0"/>
    <x v="0"/>
    <s v="Yes"/>
    <n v="20"/>
    <n v="3"/>
    <n v="62"/>
  </r>
  <r>
    <n v="3500"/>
    <x v="258"/>
    <x v="2"/>
    <d v="2024-11-21T00:00:00"/>
    <x v="0"/>
    <x v="2"/>
    <x v="1"/>
    <x v="1"/>
    <x v="1"/>
    <s v="Yes"/>
    <n v="20"/>
    <n v="15"/>
    <n v="15"/>
  </r>
  <r>
    <n v="3501"/>
    <x v="259"/>
    <x v="1"/>
    <d v="2024-11-22T00:00:00"/>
    <x v="1"/>
    <x v="1"/>
    <x v="0"/>
    <x v="1"/>
    <x v="1"/>
    <s v="No"/>
    <n v="0"/>
    <n v="1"/>
    <n v="4"/>
  </r>
  <r>
    <n v="3502"/>
    <x v="260"/>
    <x v="0"/>
    <d v="2024-11-23T00:00:00"/>
    <x v="0"/>
    <x v="0"/>
    <x v="2"/>
    <x v="0"/>
    <x v="0"/>
    <s v="Yes"/>
    <n v="20"/>
    <n v="7"/>
    <n v="58"/>
  </r>
  <r>
    <n v="3503"/>
    <x v="119"/>
    <x v="2"/>
    <d v="2024-11-24T00:00:00"/>
    <x v="1"/>
    <x v="2"/>
    <x v="0"/>
    <x v="1"/>
    <x v="1"/>
    <s v="Yes"/>
    <n v="20"/>
    <n v="10"/>
    <n v="20"/>
  </r>
  <r>
    <n v="3504"/>
    <x v="261"/>
    <x v="1"/>
    <d v="2024-11-25T00:00:00"/>
    <x v="0"/>
    <x v="1"/>
    <x v="1"/>
    <x v="1"/>
    <x v="1"/>
    <s v="No"/>
    <n v="0"/>
    <n v="0"/>
    <n v="5"/>
  </r>
  <r>
    <n v="3505"/>
    <x v="262"/>
    <x v="0"/>
    <d v="2024-11-26T00:00:00"/>
    <x v="1"/>
    <x v="0"/>
    <x v="0"/>
    <x v="0"/>
    <x v="0"/>
    <s v="Yes"/>
    <n v="20"/>
    <n v="20"/>
    <n v="45"/>
  </r>
  <r>
    <n v="3506"/>
    <x v="263"/>
    <x v="2"/>
    <d v="2024-11-27T00:00:00"/>
    <x v="0"/>
    <x v="2"/>
    <x v="2"/>
    <x v="1"/>
    <x v="1"/>
    <s v="Yes"/>
    <n v="20"/>
    <n v="15"/>
    <n v="15"/>
  </r>
  <r>
    <n v="3507"/>
    <x v="264"/>
    <x v="1"/>
    <d v="2024-11-28T00:00:00"/>
    <x v="1"/>
    <x v="1"/>
    <x v="0"/>
    <x v="1"/>
    <x v="1"/>
    <s v="No"/>
    <n v="0"/>
    <n v="1"/>
    <n v="4"/>
  </r>
  <r>
    <n v="3508"/>
    <x v="265"/>
    <x v="0"/>
    <d v="2024-11-29T00:00:00"/>
    <x v="0"/>
    <x v="0"/>
    <x v="1"/>
    <x v="0"/>
    <x v="0"/>
    <s v="Yes"/>
    <n v="20"/>
    <n v="3"/>
    <n v="62"/>
  </r>
  <r>
    <n v="3509"/>
    <x v="266"/>
    <x v="2"/>
    <d v="2024-11-30T00:00:00"/>
    <x v="1"/>
    <x v="2"/>
    <x v="0"/>
    <x v="1"/>
    <x v="1"/>
    <s v="Yes"/>
    <n v="20"/>
    <n v="10"/>
    <n v="20"/>
  </r>
  <r>
    <n v="3510"/>
    <x v="267"/>
    <x v="1"/>
    <d v="2024-12-01T00:00:00"/>
    <x v="0"/>
    <x v="1"/>
    <x v="2"/>
    <x v="1"/>
    <x v="1"/>
    <s v="No"/>
    <n v="0"/>
    <n v="0"/>
    <n v="5"/>
  </r>
  <r>
    <n v="3511"/>
    <x v="268"/>
    <x v="0"/>
    <d v="2024-12-02T00:00:00"/>
    <x v="1"/>
    <x v="0"/>
    <x v="0"/>
    <x v="0"/>
    <x v="0"/>
    <s v="Yes"/>
    <n v="20"/>
    <n v="15"/>
    <n v="50"/>
  </r>
  <r>
    <n v="3512"/>
    <x v="269"/>
    <x v="2"/>
    <d v="2024-12-03T00:00:00"/>
    <x v="0"/>
    <x v="2"/>
    <x v="1"/>
    <x v="1"/>
    <x v="1"/>
    <s v="Yes"/>
    <n v="20"/>
    <n v="15"/>
    <n v="15"/>
  </r>
  <r>
    <n v="3513"/>
    <x v="270"/>
    <x v="1"/>
    <d v="2024-12-04T00:00:00"/>
    <x v="1"/>
    <x v="1"/>
    <x v="0"/>
    <x v="1"/>
    <x v="1"/>
    <s v="No"/>
    <n v="0"/>
    <n v="1"/>
    <n v="4"/>
  </r>
  <r>
    <n v="3514"/>
    <x v="271"/>
    <x v="0"/>
    <d v="2024-12-05T00:00:00"/>
    <x v="0"/>
    <x v="0"/>
    <x v="2"/>
    <x v="0"/>
    <x v="0"/>
    <s v="Yes"/>
    <n v="20"/>
    <n v="7"/>
    <n v="58"/>
  </r>
  <r>
    <n v="3515"/>
    <x v="130"/>
    <x v="2"/>
    <d v="2024-12-06T00:00:00"/>
    <x v="1"/>
    <x v="2"/>
    <x v="0"/>
    <x v="1"/>
    <x v="1"/>
    <s v="Yes"/>
    <n v="20"/>
    <n v="10"/>
    <n v="20"/>
  </r>
  <r>
    <n v="3516"/>
    <x v="131"/>
    <x v="1"/>
    <d v="2024-12-07T00:00:00"/>
    <x v="0"/>
    <x v="1"/>
    <x v="1"/>
    <x v="1"/>
    <x v="1"/>
    <s v="No"/>
    <n v="0"/>
    <n v="0"/>
    <n v="5"/>
  </r>
  <r>
    <n v="3517"/>
    <x v="181"/>
    <x v="0"/>
    <d v="2024-12-08T00:00:00"/>
    <x v="1"/>
    <x v="0"/>
    <x v="0"/>
    <x v="0"/>
    <x v="0"/>
    <s v="Yes"/>
    <n v="20"/>
    <n v="20"/>
    <n v="45"/>
  </r>
  <r>
    <n v="3518"/>
    <x v="272"/>
    <x v="2"/>
    <d v="2024-12-09T00:00:00"/>
    <x v="0"/>
    <x v="2"/>
    <x v="2"/>
    <x v="1"/>
    <x v="1"/>
    <s v="Yes"/>
    <n v="20"/>
    <n v="12"/>
    <n v="18"/>
  </r>
  <r>
    <n v="3519"/>
    <x v="273"/>
    <x v="1"/>
    <d v="2024-12-10T00:00:00"/>
    <x v="1"/>
    <x v="1"/>
    <x v="0"/>
    <x v="1"/>
    <x v="1"/>
    <s v="No"/>
    <n v="0"/>
    <n v="2"/>
    <n v="3"/>
  </r>
  <r>
    <n v="3520"/>
    <x v="274"/>
    <x v="0"/>
    <d v="2024-12-11T00:00:00"/>
    <x v="0"/>
    <x v="0"/>
    <x v="1"/>
    <x v="0"/>
    <x v="0"/>
    <s v="Yes"/>
    <n v="20"/>
    <n v="5"/>
    <n v="60"/>
  </r>
  <r>
    <n v="3521"/>
    <x v="275"/>
    <x v="2"/>
    <d v="2024-12-12T00:00:00"/>
    <x v="1"/>
    <x v="2"/>
    <x v="0"/>
    <x v="1"/>
    <x v="1"/>
    <s v="Yes"/>
    <n v="20"/>
    <n v="10"/>
    <n v="20"/>
  </r>
  <r>
    <n v="3522"/>
    <x v="276"/>
    <x v="1"/>
    <d v="2024-12-13T00:00:00"/>
    <x v="0"/>
    <x v="1"/>
    <x v="2"/>
    <x v="1"/>
    <x v="1"/>
    <s v="No"/>
    <n v="0"/>
    <n v="0"/>
    <n v="5"/>
  </r>
  <r>
    <n v="3523"/>
    <x v="277"/>
    <x v="0"/>
    <d v="2024-12-14T00:00:00"/>
    <x v="1"/>
    <x v="0"/>
    <x v="0"/>
    <x v="0"/>
    <x v="0"/>
    <s v="Yes"/>
    <n v="20"/>
    <n v="3"/>
    <n v="62"/>
  </r>
  <r>
    <n v="3524"/>
    <x v="278"/>
    <x v="2"/>
    <d v="2024-12-15T00:00:00"/>
    <x v="0"/>
    <x v="2"/>
    <x v="1"/>
    <x v="1"/>
    <x v="1"/>
    <s v="Yes"/>
    <n v="20"/>
    <n v="15"/>
    <n v="15"/>
  </r>
  <r>
    <n v="3525"/>
    <x v="279"/>
    <x v="1"/>
    <d v="2024-12-16T00:00:00"/>
    <x v="1"/>
    <x v="1"/>
    <x v="0"/>
    <x v="1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656658-254E-40CA-8714-95F4A0EB97D5}" name="Tabela dinâmica5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">
  <location ref="B43:C47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/>
  </dataFields>
  <formats count="1">
    <format dxfId="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13DA5F-FBAB-44E5-A6D5-E68A0462F3CB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4">
  <location ref="B55:C59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/>
  </dataFields>
  <formats count="1">
    <format dxfId="30">
      <pivotArea outline="0" collapsedLevelsAreSubtotals="1" fieldPosition="0"/>
    </format>
  </formats>
  <chartFormats count="3"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1F5D06-7185-4D34-AD50-7C14E294C9EA}" name="tbl_PlayaSeasonPass_total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">
  <location ref="B31:C3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 Price" fld="8" baseField="2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384577-643E-474E-ABA9-22F3AD6A698D}" name="Tbl_annual_total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5">
  <location ref="B20:C2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1">
    <format dxfId="32">
      <pivotArea outline="0" collapsedLevelsAreSubtotals="1" fieldPosition="0"/>
    </format>
  </formats>
  <chartFormats count="3"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860ED-DF54-4F54-9875-F6191175C76E}" name="Tabela dinâmica6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11:B12" firstHeaderRow="1" firstDataRow="1" firstDataCol="0" rowPageCount="1" colPageCount="1"/>
  <pivotFields count="13">
    <pivotField showAll="0"/>
    <pivotField showAll="0"/>
    <pivotField showAll="0"/>
    <pivotField numFmtId="14" showAll="0"/>
    <pivotField showAll="0"/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Items count="1">
    <i/>
  </rowItems>
  <colItems count="1">
    <i/>
  </colItems>
  <pageFields count="1">
    <pageField fld="6" hier="-1"/>
  </pageFields>
  <dataFields count="1">
    <dataField name="Soma de Total Value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EEDC1C27-DC26-4095-BB4C-757BE50D5640}" sourceName="Subscription Type">
  <pivotTables>
    <pivotTable tabId="3" name="Tbl_annual_total"/>
    <pivotTable tabId="3" name="tbl_PlayaSeasonPass_total"/>
    <pivotTable tabId="3" name="Tabela dinâmica5"/>
    <pivotTable tabId="3" name="Tabela dinâmica1"/>
    <pivotTable tabId="3" name="Tabela dinâmica6"/>
  </pivotTables>
  <data>
    <tabular pivotCacheId="583257017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89DBC941-511A-4989-B15D-1EAB57921626}" cache="SegmentaçãodeDados_Subscription_Type" caption="SUBSCRIPTION" style="SlicerStyleLight6 2" rowHeight="50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3" xr10:uid="{8A72A2B1-22E1-4B5F-A1E5-036D98DCBFB5}" cache="SegmentaçãodeDados_Subscription_Type" caption="SUBSCRIPTION" style="SlicerStyleLight6 2" rowHeight="504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headerRowDxfId="47" dataDxfId="46">
  <autoFilter ref="A1:M296" xr:uid="{34E0E886-4200-4B36-97B3-63DB74FF40A0}"/>
  <tableColumns count="13">
    <tableColumn id="1" xr3:uid="{C4A90516-688A-46BF-9167-EA16C2A8A652}" name="Subscriber ID" dataDxfId="45"/>
    <tableColumn id="2" xr3:uid="{53DD39D0-2220-4121-9E9D-4EAA7E151C0F}" name="Name" dataDxfId="44"/>
    <tableColumn id="3" xr3:uid="{4F5FF271-4C57-4BE0-8F2C-F82C8551625C}" name="Plan" dataDxfId="43"/>
    <tableColumn id="4" xr3:uid="{8C17EB93-79B9-4E55-B8F7-BEB82F8253E9}" name="Start Date" dataDxfId="42"/>
    <tableColumn id="5" xr3:uid="{48CEDF9B-1689-482A-A828-5CCE7713264A}" name="Auto Renewal" dataDxfId="41"/>
    <tableColumn id="6" xr3:uid="{78B82374-9AA7-4E38-AE4F-78CDE6C83720}" name="Subscription Price" dataDxfId="40" dataCellStyle="Moeda"/>
    <tableColumn id="7" xr3:uid="{F2433F68-AF33-49D0-B1FB-19A396074EDE}" name="Subscription Type" dataDxfId="39"/>
    <tableColumn id="8" xr3:uid="{FD4D9C95-F6E5-4933-9068-A71FF7DF9343}" name="EA Play Season Pass" dataDxfId="38"/>
    <tableColumn id="13" xr3:uid="{978DD0D2-834E-4CE4-A39B-30976086932F}" name="EA Play Season Pass_x000a_Price" dataDxfId="37" dataCellStyle="Moeda"/>
    <tableColumn id="9" xr3:uid="{6E29F111-C395-4580-9DAD-3407D9E8B1A4}" name="Minecraft Season Pass" dataDxfId="36"/>
    <tableColumn id="10" xr3:uid="{EF544EAA-7F25-4FD5-A10E-8E62804DB9E3}" name="Minecraft Season Pass Price" dataDxfId="35" dataCellStyle="Moeda"/>
    <tableColumn id="11" xr3:uid="{7F6EB64A-1F07-4E48-9F0F-AC7D9DCD26F8}" name="Coupon Value" dataDxfId="34" dataCellStyle="Moeda"/>
    <tableColumn id="12" xr3:uid="{2B04ABC8-DE6F-426E-ADC0-D8AFC68CA58E}" name="Total Value" dataDxfId="33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 codeName="Planilha1">
    <tabColor theme="6" tint="0.79998168889431442"/>
  </sheetPr>
  <dimension ref="A1:M296"/>
  <sheetViews>
    <sheetView showRowColHeaders="0" zoomScale="89" zoomScaleNormal="89" workbookViewId="0"/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21.6640625" bestFit="1" customWidth="1"/>
    <col min="11" max="11" width="22" customWidth="1"/>
    <col min="12" max="12" width="12.6640625" bestFit="1" customWidth="1"/>
    <col min="13" max="13" width="15.6640625" bestFit="1" customWidth="1"/>
  </cols>
  <sheetData>
    <row r="1" spans="1:13" ht="28.8" x14ac:dyDescent="0.3">
      <c r="A1" s="20" t="s">
        <v>7</v>
      </c>
      <c r="B1" s="20" t="s">
        <v>8</v>
      </c>
      <c r="C1" s="20" t="s">
        <v>9</v>
      </c>
      <c r="D1" s="20" t="s">
        <v>10</v>
      </c>
      <c r="E1" s="20" t="s">
        <v>11</v>
      </c>
      <c r="F1" s="20" t="s">
        <v>307</v>
      </c>
      <c r="G1" s="20" t="s">
        <v>12</v>
      </c>
      <c r="H1" s="20" t="s">
        <v>305</v>
      </c>
      <c r="I1" s="20" t="s">
        <v>306</v>
      </c>
      <c r="J1" s="20" t="s">
        <v>26</v>
      </c>
      <c r="K1" s="20" t="s">
        <v>27</v>
      </c>
      <c r="L1" s="20" t="s">
        <v>28</v>
      </c>
      <c r="M1" s="20" t="s">
        <v>29</v>
      </c>
    </row>
    <row r="2" spans="1:13" ht="16.5" customHeight="1" x14ac:dyDescent="0.3">
      <c r="A2" s="17">
        <v>3231</v>
      </c>
      <c r="B2" s="17" t="s">
        <v>13</v>
      </c>
      <c r="C2" s="17" t="s">
        <v>14</v>
      </c>
      <c r="D2" s="18">
        <v>45292</v>
      </c>
      <c r="E2" s="17" t="s">
        <v>15</v>
      </c>
      <c r="F2" s="19">
        <v>15</v>
      </c>
      <c r="G2" s="17" t="s">
        <v>16</v>
      </c>
      <c r="H2" s="17" t="s">
        <v>15</v>
      </c>
      <c r="I2" s="19">
        <v>30</v>
      </c>
      <c r="J2" s="17" t="s">
        <v>15</v>
      </c>
      <c r="K2" s="19">
        <v>20</v>
      </c>
      <c r="L2" s="19">
        <v>5</v>
      </c>
      <c r="M2" s="19">
        <v>60</v>
      </c>
    </row>
    <row r="3" spans="1:13" ht="16.5" customHeight="1" x14ac:dyDescent="0.3">
      <c r="A3" s="17">
        <v>3232</v>
      </c>
      <c r="B3" s="17" t="s">
        <v>17</v>
      </c>
      <c r="C3" s="17" t="s">
        <v>18</v>
      </c>
      <c r="D3" s="18">
        <v>45306</v>
      </c>
      <c r="E3" s="17" t="s">
        <v>19</v>
      </c>
      <c r="F3" s="19">
        <v>5</v>
      </c>
      <c r="G3" s="17" t="s">
        <v>20</v>
      </c>
      <c r="H3" s="17" t="s">
        <v>19</v>
      </c>
      <c r="I3" s="19">
        <v>0</v>
      </c>
      <c r="J3" s="17" t="s">
        <v>19</v>
      </c>
      <c r="K3" s="19">
        <v>0</v>
      </c>
      <c r="L3" s="19">
        <v>0</v>
      </c>
      <c r="M3" s="19">
        <v>5</v>
      </c>
    </row>
    <row r="4" spans="1:13" ht="16.5" customHeight="1" x14ac:dyDescent="0.3">
      <c r="A4" s="17">
        <v>3233</v>
      </c>
      <c r="B4" s="17" t="s">
        <v>21</v>
      </c>
      <c r="C4" s="17" t="s">
        <v>22</v>
      </c>
      <c r="D4" s="18">
        <v>45332</v>
      </c>
      <c r="E4" s="17" t="s">
        <v>15</v>
      </c>
      <c r="F4" s="19">
        <v>10</v>
      </c>
      <c r="G4" s="17" t="s">
        <v>23</v>
      </c>
      <c r="H4" s="17" t="s">
        <v>19</v>
      </c>
      <c r="I4" s="19">
        <v>0</v>
      </c>
      <c r="J4" s="17" t="s">
        <v>15</v>
      </c>
      <c r="K4" s="19">
        <v>20</v>
      </c>
      <c r="L4" s="19">
        <v>10</v>
      </c>
      <c r="M4" s="19">
        <v>20</v>
      </c>
    </row>
    <row r="5" spans="1:13" ht="16.5" customHeight="1" x14ac:dyDescent="0.3">
      <c r="A5" s="17">
        <v>3234</v>
      </c>
      <c r="B5" s="17" t="s">
        <v>24</v>
      </c>
      <c r="C5" s="17" t="s">
        <v>14</v>
      </c>
      <c r="D5" s="18">
        <v>45342</v>
      </c>
      <c r="E5" s="17" t="s">
        <v>19</v>
      </c>
      <c r="F5" s="19">
        <v>15</v>
      </c>
      <c r="G5" s="17" t="s">
        <v>16</v>
      </c>
      <c r="H5" s="17" t="s">
        <v>15</v>
      </c>
      <c r="I5" s="19">
        <v>30</v>
      </c>
      <c r="J5" s="17" t="s">
        <v>15</v>
      </c>
      <c r="K5" s="19">
        <v>20</v>
      </c>
      <c r="L5" s="19">
        <v>3</v>
      </c>
      <c r="M5" s="19">
        <v>62</v>
      </c>
    </row>
    <row r="6" spans="1:13" ht="16.5" customHeight="1" x14ac:dyDescent="0.3">
      <c r="A6" s="17">
        <v>3235</v>
      </c>
      <c r="B6" s="17" t="s">
        <v>25</v>
      </c>
      <c r="C6" s="17" t="s">
        <v>18</v>
      </c>
      <c r="D6" s="18">
        <v>45356</v>
      </c>
      <c r="E6" s="17" t="s">
        <v>15</v>
      </c>
      <c r="F6" s="19">
        <v>5</v>
      </c>
      <c r="G6" s="17" t="s">
        <v>16</v>
      </c>
      <c r="H6" s="17" t="s">
        <v>19</v>
      </c>
      <c r="I6" s="19">
        <v>0</v>
      </c>
      <c r="J6" s="17" t="s">
        <v>19</v>
      </c>
      <c r="K6" s="19">
        <v>0</v>
      </c>
      <c r="L6" s="19">
        <v>1</v>
      </c>
      <c r="M6" s="19">
        <v>4</v>
      </c>
    </row>
    <row r="7" spans="1:13" ht="16.5" customHeight="1" x14ac:dyDescent="0.3">
      <c r="A7" s="17">
        <v>3236</v>
      </c>
      <c r="B7" s="17" t="s">
        <v>30</v>
      </c>
      <c r="C7" s="17" t="s">
        <v>22</v>
      </c>
      <c r="D7" s="18">
        <v>45353</v>
      </c>
      <c r="E7" s="17" t="s">
        <v>19</v>
      </c>
      <c r="F7" s="19">
        <v>10</v>
      </c>
      <c r="G7" s="17" t="s">
        <v>16</v>
      </c>
      <c r="H7" s="17" t="s">
        <v>19</v>
      </c>
      <c r="I7" s="19">
        <v>0</v>
      </c>
      <c r="J7" s="17" t="s">
        <v>15</v>
      </c>
      <c r="K7" s="19">
        <v>20</v>
      </c>
      <c r="L7" s="19">
        <v>2</v>
      </c>
      <c r="M7" s="19">
        <v>28</v>
      </c>
    </row>
    <row r="8" spans="1:13" ht="16.5" customHeight="1" x14ac:dyDescent="0.3">
      <c r="A8" s="17">
        <v>3237</v>
      </c>
      <c r="B8" s="17" t="s">
        <v>31</v>
      </c>
      <c r="C8" s="17" t="s">
        <v>14</v>
      </c>
      <c r="D8" s="18">
        <v>45354</v>
      </c>
      <c r="E8" s="17" t="s">
        <v>15</v>
      </c>
      <c r="F8" s="19">
        <v>15</v>
      </c>
      <c r="G8" s="17" t="s">
        <v>23</v>
      </c>
      <c r="H8" s="17" t="s">
        <v>15</v>
      </c>
      <c r="I8" s="19">
        <v>30</v>
      </c>
      <c r="J8" s="17" t="s">
        <v>15</v>
      </c>
      <c r="K8" s="19">
        <v>20</v>
      </c>
      <c r="L8" s="19">
        <v>10</v>
      </c>
      <c r="M8" s="19">
        <v>55</v>
      </c>
    </row>
    <row r="9" spans="1:13" ht="16.5" customHeight="1" x14ac:dyDescent="0.3">
      <c r="A9" s="17">
        <v>3238</v>
      </c>
      <c r="B9" s="17" t="s">
        <v>32</v>
      </c>
      <c r="C9" s="17" t="s">
        <v>18</v>
      </c>
      <c r="D9" s="18">
        <v>45355</v>
      </c>
      <c r="E9" s="17" t="s">
        <v>15</v>
      </c>
      <c r="F9" s="19">
        <v>5</v>
      </c>
      <c r="G9" s="17" t="s">
        <v>20</v>
      </c>
      <c r="H9" s="17" t="s">
        <v>19</v>
      </c>
      <c r="I9" s="19">
        <v>0</v>
      </c>
      <c r="J9" s="17" t="s">
        <v>19</v>
      </c>
      <c r="K9" s="19">
        <v>0</v>
      </c>
      <c r="L9" s="19">
        <v>0</v>
      </c>
      <c r="M9" s="19">
        <v>5</v>
      </c>
    </row>
    <row r="10" spans="1:13" ht="16.5" customHeight="1" x14ac:dyDescent="0.3">
      <c r="A10" s="17">
        <v>3239</v>
      </c>
      <c r="B10" s="17" t="s">
        <v>33</v>
      </c>
      <c r="C10" s="17" t="s">
        <v>14</v>
      </c>
      <c r="D10" s="18">
        <v>45356</v>
      </c>
      <c r="E10" s="17" t="s">
        <v>19</v>
      </c>
      <c r="F10" s="19">
        <v>15</v>
      </c>
      <c r="G10" s="17" t="s">
        <v>16</v>
      </c>
      <c r="H10" s="17" t="s">
        <v>15</v>
      </c>
      <c r="I10" s="19">
        <v>30</v>
      </c>
      <c r="J10" s="17" t="s">
        <v>15</v>
      </c>
      <c r="K10" s="19">
        <v>20</v>
      </c>
      <c r="L10" s="19">
        <v>5</v>
      </c>
      <c r="M10" s="19">
        <v>60</v>
      </c>
    </row>
    <row r="11" spans="1:13" ht="16.5" customHeight="1" x14ac:dyDescent="0.3">
      <c r="A11" s="17">
        <v>3240</v>
      </c>
      <c r="B11" s="17" t="s">
        <v>34</v>
      </c>
      <c r="C11" s="17" t="s">
        <v>22</v>
      </c>
      <c r="D11" s="18">
        <v>45357</v>
      </c>
      <c r="E11" s="17" t="s">
        <v>15</v>
      </c>
      <c r="F11" s="19">
        <v>10</v>
      </c>
      <c r="G11" s="17" t="s">
        <v>23</v>
      </c>
      <c r="H11" s="17" t="s">
        <v>19</v>
      </c>
      <c r="I11" s="19">
        <v>0</v>
      </c>
      <c r="J11" s="17" t="s">
        <v>15</v>
      </c>
      <c r="K11" s="19">
        <v>20</v>
      </c>
      <c r="L11" s="19">
        <v>15</v>
      </c>
      <c r="M11" s="19">
        <v>15</v>
      </c>
    </row>
    <row r="12" spans="1:13" ht="16.5" customHeight="1" x14ac:dyDescent="0.3">
      <c r="A12" s="17">
        <v>3241</v>
      </c>
      <c r="B12" s="17" t="s">
        <v>35</v>
      </c>
      <c r="C12" s="17" t="s">
        <v>18</v>
      </c>
      <c r="D12" s="18">
        <v>45358</v>
      </c>
      <c r="E12" s="17" t="s">
        <v>19</v>
      </c>
      <c r="F12" s="19">
        <v>5</v>
      </c>
      <c r="G12" s="17" t="s">
        <v>16</v>
      </c>
      <c r="H12" s="17" t="s">
        <v>19</v>
      </c>
      <c r="I12" s="19">
        <v>0</v>
      </c>
      <c r="J12" s="17" t="s">
        <v>19</v>
      </c>
      <c r="K12" s="19">
        <v>0</v>
      </c>
      <c r="L12" s="19">
        <v>1</v>
      </c>
      <c r="M12" s="19">
        <v>4</v>
      </c>
    </row>
    <row r="13" spans="1:13" ht="16.5" customHeight="1" x14ac:dyDescent="0.3">
      <c r="A13" s="17">
        <v>3242</v>
      </c>
      <c r="B13" s="17" t="s">
        <v>36</v>
      </c>
      <c r="C13" s="17" t="s">
        <v>14</v>
      </c>
      <c r="D13" s="18">
        <v>45359</v>
      </c>
      <c r="E13" s="17" t="s">
        <v>15</v>
      </c>
      <c r="F13" s="19">
        <v>15</v>
      </c>
      <c r="G13" s="17" t="s">
        <v>20</v>
      </c>
      <c r="H13" s="17" t="s">
        <v>15</v>
      </c>
      <c r="I13" s="19">
        <v>30</v>
      </c>
      <c r="J13" s="17" t="s">
        <v>15</v>
      </c>
      <c r="K13" s="19">
        <v>20</v>
      </c>
      <c r="L13" s="19">
        <v>20</v>
      </c>
      <c r="M13" s="19">
        <v>45</v>
      </c>
    </row>
    <row r="14" spans="1:13" ht="16.5" customHeight="1" x14ac:dyDescent="0.3">
      <c r="A14" s="17">
        <v>3243</v>
      </c>
      <c r="B14" s="17" t="s">
        <v>37</v>
      </c>
      <c r="C14" s="17" t="s">
        <v>22</v>
      </c>
      <c r="D14" s="18">
        <v>45360</v>
      </c>
      <c r="E14" s="17" t="s">
        <v>19</v>
      </c>
      <c r="F14" s="19">
        <v>10</v>
      </c>
      <c r="G14" s="17" t="s">
        <v>16</v>
      </c>
      <c r="H14" s="17" t="s">
        <v>19</v>
      </c>
      <c r="I14" s="19">
        <v>0</v>
      </c>
      <c r="J14" s="17" t="s">
        <v>15</v>
      </c>
      <c r="K14" s="19">
        <v>20</v>
      </c>
      <c r="L14" s="19">
        <v>10</v>
      </c>
      <c r="M14" s="19">
        <v>20</v>
      </c>
    </row>
    <row r="15" spans="1:13" ht="16.5" customHeight="1" x14ac:dyDescent="0.3">
      <c r="A15" s="17">
        <v>3244</v>
      </c>
      <c r="B15" s="17" t="s">
        <v>38</v>
      </c>
      <c r="C15" s="17" t="s">
        <v>18</v>
      </c>
      <c r="D15" s="18">
        <v>45361</v>
      </c>
      <c r="E15" s="17" t="s">
        <v>15</v>
      </c>
      <c r="F15" s="19">
        <v>5</v>
      </c>
      <c r="G15" s="17" t="s">
        <v>23</v>
      </c>
      <c r="H15" s="17" t="s">
        <v>19</v>
      </c>
      <c r="I15" s="19">
        <v>0</v>
      </c>
      <c r="J15" s="17" t="s">
        <v>19</v>
      </c>
      <c r="K15" s="19">
        <v>0</v>
      </c>
      <c r="L15" s="19">
        <v>0</v>
      </c>
      <c r="M15" s="19">
        <v>5</v>
      </c>
    </row>
    <row r="16" spans="1:13" ht="16.5" customHeight="1" x14ac:dyDescent="0.3">
      <c r="A16" s="17">
        <v>3245</v>
      </c>
      <c r="B16" s="17" t="s">
        <v>39</v>
      </c>
      <c r="C16" s="17" t="s">
        <v>14</v>
      </c>
      <c r="D16" s="18">
        <v>45362</v>
      </c>
      <c r="E16" s="17" t="s">
        <v>19</v>
      </c>
      <c r="F16" s="19">
        <v>15</v>
      </c>
      <c r="G16" s="17" t="s">
        <v>16</v>
      </c>
      <c r="H16" s="17" t="s">
        <v>15</v>
      </c>
      <c r="I16" s="19">
        <v>30</v>
      </c>
      <c r="J16" s="17" t="s">
        <v>15</v>
      </c>
      <c r="K16" s="19">
        <v>20</v>
      </c>
      <c r="L16" s="19">
        <v>8</v>
      </c>
      <c r="M16" s="19">
        <v>57</v>
      </c>
    </row>
    <row r="17" spans="1:13" ht="16.5" customHeight="1" x14ac:dyDescent="0.3">
      <c r="A17" s="17">
        <v>3246</v>
      </c>
      <c r="B17" s="17" t="s">
        <v>40</v>
      </c>
      <c r="C17" s="17" t="s">
        <v>22</v>
      </c>
      <c r="D17" s="18">
        <v>45363</v>
      </c>
      <c r="E17" s="17" t="s">
        <v>15</v>
      </c>
      <c r="F17" s="19">
        <v>10</v>
      </c>
      <c r="G17" s="17" t="s">
        <v>20</v>
      </c>
      <c r="H17" s="17" t="s">
        <v>19</v>
      </c>
      <c r="I17" s="19">
        <v>0</v>
      </c>
      <c r="J17" s="17" t="s">
        <v>15</v>
      </c>
      <c r="K17" s="19">
        <v>20</v>
      </c>
      <c r="L17" s="19">
        <v>12</v>
      </c>
      <c r="M17" s="19">
        <v>18</v>
      </c>
    </row>
    <row r="18" spans="1:13" ht="16.5" customHeight="1" x14ac:dyDescent="0.3">
      <c r="A18" s="17">
        <v>3247</v>
      </c>
      <c r="B18" s="17" t="s">
        <v>41</v>
      </c>
      <c r="C18" s="17" t="s">
        <v>18</v>
      </c>
      <c r="D18" s="18">
        <v>45364</v>
      </c>
      <c r="E18" s="17" t="s">
        <v>19</v>
      </c>
      <c r="F18" s="19">
        <v>5</v>
      </c>
      <c r="G18" s="17" t="s">
        <v>16</v>
      </c>
      <c r="H18" s="17" t="s">
        <v>19</v>
      </c>
      <c r="I18" s="19">
        <v>0</v>
      </c>
      <c r="J18" s="17" t="s">
        <v>19</v>
      </c>
      <c r="K18" s="19">
        <v>0</v>
      </c>
      <c r="L18" s="19">
        <v>2</v>
      </c>
      <c r="M18" s="19">
        <v>3</v>
      </c>
    </row>
    <row r="19" spans="1:13" ht="16.5" customHeight="1" x14ac:dyDescent="0.3">
      <c r="A19" s="17">
        <v>3248</v>
      </c>
      <c r="B19" s="17" t="s">
        <v>42</v>
      </c>
      <c r="C19" s="17" t="s">
        <v>14</v>
      </c>
      <c r="D19" s="18">
        <v>45365</v>
      </c>
      <c r="E19" s="17" t="s">
        <v>15</v>
      </c>
      <c r="F19" s="19">
        <v>15</v>
      </c>
      <c r="G19" s="17" t="s">
        <v>23</v>
      </c>
      <c r="H19" s="17" t="s">
        <v>15</v>
      </c>
      <c r="I19" s="19">
        <v>30</v>
      </c>
      <c r="J19" s="17" t="s">
        <v>15</v>
      </c>
      <c r="K19" s="19">
        <v>20</v>
      </c>
      <c r="L19" s="19">
        <v>7</v>
      </c>
      <c r="M19" s="19">
        <v>58</v>
      </c>
    </row>
    <row r="20" spans="1:13" ht="16.5" customHeight="1" x14ac:dyDescent="0.3">
      <c r="A20" s="17">
        <v>3249</v>
      </c>
      <c r="B20" s="17" t="s">
        <v>43</v>
      </c>
      <c r="C20" s="17" t="s">
        <v>22</v>
      </c>
      <c r="D20" s="18">
        <v>45366</v>
      </c>
      <c r="E20" s="17" t="s">
        <v>19</v>
      </c>
      <c r="F20" s="19">
        <v>10</v>
      </c>
      <c r="G20" s="17" t="s">
        <v>16</v>
      </c>
      <c r="H20" s="17" t="s">
        <v>19</v>
      </c>
      <c r="I20" s="19">
        <v>0</v>
      </c>
      <c r="J20" s="17" t="s">
        <v>15</v>
      </c>
      <c r="K20" s="19">
        <v>20</v>
      </c>
      <c r="L20" s="19">
        <v>5</v>
      </c>
      <c r="M20" s="19">
        <v>25</v>
      </c>
    </row>
    <row r="21" spans="1:13" ht="16.5" customHeight="1" x14ac:dyDescent="0.3">
      <c r="A21" s="17">
        <v>3250</v>
      </c>
      <c r="B21" s="17" t="s">
        <v>44</v>
      </c>
      <c r="C21" s="17" t="s">
        <v>18</v>
      </c>
      <c r="D21" s="18">
        <v>45367</v>
      </c>
      <c r="E21" s="17" t="s">
        <v>15</v>
      </c>
      <c r="F21" s="19">
        <v>5</v>
      </c>
      <c r="G21" s="17" t="s">
        <v>20</v>
      </c>
      <c r="H21" s="17" t="s">
        <v>19</v>
      </c>
      <c r="I21" s="19">
        <v>0</v>
      </c>
      <c r="J21" s="17" t="s">
        <v>19</v>
      </c>
      <c r="K21" s="19">
        <v>0</v>
      </c>
      <c r="L21" s="19">
        <v>0</v>
      </c>
      <c r="M21" s="19">
        <v>5</v>
      </c>
    </row>
    <row r="22" spans="1:13" ht="16.5" customHeight="1" x14ac:dyDescent="0.3">
      <c r="A22" s="17">
        <v>3251</v>
      </c>
      <c r="B22" s="17" t="s">
        <v>45</v>
      </c>
      <c r="C22" s="17" t="s">
        <v>14</v>
      </c>
      <c r="D22" s="18">
        <v>45368</v>
      </c>
      <c r="E22" s="17" t="s">
        <v>19</v>
      </c>
      <c r="F22" s="19">
        <v>15</v>
      </c>
      <c r="G22" s="17" t="s">
        <v>16</v>
      </c>
      <c r="H22" s="17" t="s">
        <v>15</v>
      </c>
      <c r="I22" s="19">
        <v>30</v>
      </c>
      <c r="J22" s="17" t="s">
        <v>15</v>
      </c>
      <c r="K22" s="19">
        <v>20</v>
      </c>
      <c r="L22" s="19">
        <v>3</v>
      </c>
      <c r="M22" s="19">
        <v>62</v>
      </c>
    </row>
    <row r="23" spans="1:13" ht="16.5" customHeight="1" x14ac:dyDescent="0.3">
      <c r="A23" s="17">
        <v>3252</v>
      </c>
      <c r="B23" s="17" t="s">
        <v>46</v>
      </c>
      <c r="C23" s="17" t="s">
        <v>22</v>
      </c>
      <c r="D23" s="18">
        <v>45369</v>
      </c>
      <c r="E23" s="17" t="s">
        <v>15</v>
      </c>
      <c r="F23" s="19">
        <v>10</v>
      </c>
      <c r="G23" s="17" t="s">
        <v>23</v>
      </c>
      <c r="H23" s="17" t="s">
        <v>19</v>
      </c>
      <c r="I23" s="19">
        <v>0</v>
      </c>
      <c r="J23" s="17" t="s">
        <v>15</v>
      </c>
      <c r="K23" s="19">
        <v>20</v>
      </c>
      <c r="L23" s="19">
        <v>15</v>
      </c>
      <c r="M23" s="19">
        <v>15</v>
      </c>
    </row>
    <row r="24" spans="1:13" ht="16.5" customHeight="1" x14ac:dyDescent="0.3">
      <c r="A24" s="17">
        <v>3253</v>
      </c>
      <c r="B24" s="17" t="s">
        <v>47</v>
      </c>
      <c r="C24" s="17" t="s">
        <v>18</v>
      </c>
      <c r="D24" s="18">
        <v>45370</v>
      </c>
      <c r="E24" s="17" t="s">
        <v>19</v>
      </c>
      <c r="F24" s="19">
        <v>5</v>
      </c>
      <c r="G24" s="17" t="s">
        <v>16</v>
      </c>
      <c r="H24" s="17" t="s">
        <v>19</v>
      </c>
      <c r="I24" s="19">
        <v>0</v>
      </c>
      <c r="J24" s="17" t="s">
        <v>19</v>
      </c>
      <c r="K24" s="19">
        <v>0</v>
      </c>
      <c r="L24" s="19">
        <v>1</v>
      </c>
      <c r="M24" s="19">
        <v>4</v>
      </c>
    </row>
    <row r="25" spans="1:13" ht="16.5" customHeight="1" x14ac:dyDescent="0.3">
      <c r="A25" s="17">
        <v>3254</v>
      </c>
      <c r="B25" s="17" t="s">
        <v>48</v>
      </c>
      <c r="C25" s="17" t="s">
        <v>14</v>
      </c>
      <c r="D25" s="18">
        <v>45371</v>
      </c>
      <c r="E25" s="17" t="s">
        <v>15</v>
      </c>
      <c r="F25" s="19">
        <v>15</v>
      </c>
      <c r="G25" s="17" t="s">
        <v>20</v>
      </c>
      <c r="H25" s="17" t="s">
        <v>15</v>
      </c>
      <c r="I25" s="19">
        <v>30</v>
      </c>
      <c r="J25" s="17" t="s">
        <v>15</v>
      </c>
      <c r="K25" s="19">
        <v>20</v>
      </c>
      <c r="L25" s="19">
        <v>20</v>
      </c>
      <c r="M25" s="19">
        <v>45</v>
      </c>
    </row>
    <row r="26" spans="1:13" ht="16.5" customHeight="1" x14ac:dyDescent="0.3">
      <c r="A26" s="17">
        <v>3255</v>
      </c>
      <c r="B26" s="17" t="s">
        <v>49</v>
      </c>
      <c r="C26" s="17" t="s">
        <v>22</v>
      </c>
      <c r="D26" s="18">
        <v>45372</v>
      </c>
      <c r="E26" s="17" t="s">
        <v>19</v>
      </c>
      <c r="F26" s="19">
        <v>10</v>
      </c>
      <c r="G26" s="17" t="s">
        <v>16</v>
      </c>
      <c r="H26" s="17" t="s">
        <v>19</v>
      </c>
      <c r="I26" s="19">
        <v>0</v>
      </c>
      <c r="J26" s="17" t="s">
        <v>15</v>
      </c>
      <c r="K26" s="19">
        <v>20</v>
      </c>
      <c r="L26" s="19">
        <v>10</v>
      </c>
      <c r="M26" s="19">
        <v>20</v>
      </c>
    </row>
    <row r="27" spans="1:13" ht="16.5" customHeight="1" x14ac:dyDescent="0.3">
      <c r="A27" s="17">
        <v>3256</v>
      </c>
      <c r="B27" s="17" t="s">
        <v>50</v>
      </c>
      <c r="C27" s="17" t="s">
        <v>18</v>
      </c>
      <c r="D27" s="18">
        <v>45373</v>
      </c>
      <c r="E27" s="17" t="s">
        <v>15</v>
      </c>
      <c r="F27" s="19">
        <v>5</v>
      </c>
      <c r="G27" s="17" t="s">
        <v>23</v>
      </c>
      <c r="H27" s="17" t="s">
        <v>19</v>
      </c>
      <c r="I27" s="19">
        <v>0</v>
      </c>
      <c r="J27" s="17" t="s">
        <v>19</v>
      </c>
      <c r="K27" s="19">
        <v>0</v>
      </c>
      <c r="L27" s="19">
        <v>0</v>
      </c>
      <c r="M27" s="19">
        <v>5</v>
      </c>
    </row>
    <row r="28" spans="1:13" ht="16.5" customHeight="1" x14ac:dyDescent="0.3">
      <c r="A28" s="17">
        <v>3257</v>
      </c>
      <c r="B28" s="17" t="s">
        <v>51</v>
      </c>
      <c r="C28" s="17" t="s">
        <v>14</v>
      </c>
      <c r="D28" s="18">
        <v>45374</v>
      </c>
      <c r="E28" s="17" t="s">
        <v>19</v>
      </c>
      <c r="F28" s="19">
        <v>15</v>
      </c>
      <c r="G28" s="17" t="s">
        <v>16</v>
      </c>
      <c r="H28" s="17" t="s">
        <v>15</v>
      </c>
      <c r="I28" s="19">
        <v>30</v>
      </c>
      <c r="J28" s="17" t="s">
        <v>15</v>
      </c>
      <c r="K28" s="19">
        <v>20</v>
      </c>
      <c r="L28" s="19">
        <v>5</v>
      </c>
      <c r="M28" s="19">
        <v>60</v>
      </c>
    </row>
    <row r="29" spans="1:13" ht="16.5" customHeight="1" x14ac:dyDescent="0.3">
      <c r="A29" s="17">
        <v>3258</v>
      </c>
      <c r="B29" s="17" t="s">
        <v>52</v>
      </c>
      <c r="C29" s="17" t="s">
        <v>22</v>
      </c>
      <c r="D29" s="18">
        <v>45375</v>
      </c>
      <c r="E29" s="17" t="s">
        <v>15</v>
      </c>
      <c r="F29" s="19">
        <v>10</v>
      </c>
      <c r="G29" s="17" t="s">
        <v>20</v>
      </c>
      <c r="H29" s="17" t="s">
        <v>19</v>
      </c>
      <c r="I29" s="19">
        <v>0</v>
      </c>
      <c r="J29" s="17" t="s">
        <v>15</v>
      </c>
      <c r="K29" s="19">
        <v>20</v>
      </c>
      <c r="L29" s="19">
        <v>15</v>
      </c>
      <c r="M29" s="19">
        <v>15</v>
      </c>
    </row>
    <row r="30" spans="1:13" ht="16.5" customHeight="1" x14ac:dyDescent="0.3">
      <c r="A30" s="17">
        <v>3259</v>
      </c>
      <c r="B30" s="17" t="s">
        <v>53</v>
      </c>
      <c r="C30" s="17" t="s">
        <v>18</v>
      </c>
      <c r="D30" s="18">
        <v>45376</v>
      </c>
      <c r="E30" s="17" t="s">
        <v>19</v>
      </c>
      <c r="F30" s="19">
        <v>5</v>
      </c>
      <c r="G30" s="17" t="s">
        <v>16</v>
      </c>
      <c r="H30" s="17" t="s">
        <v>19</v>
      </c>
      <c r="I30" s="19">
        <v>0</v>
      </c>
      <c r="J30" s="17" t="s">
        <v>19</v>
      </c>
      <c r="K30" s="19">
        <v>0</v>
      </c>
      <c r="L30" s="19">
        <v>1</v>
      </c>
      <c r="M30" s="19">
        <v>4</v>
      </c>
    </row>
    <row r="31" spans="1:13" ht="16.5" customHeight="1" x14ac:dyDescent="0.3">
      <c r="A31" s="17">
        <v>3260</v>
      </c>
      <c r="B31" s="17" t="s">
        <v>54</v>
      </c>
      <c r="C31" s="17" t="s">
        <v>14</v>
      </c>
      <c r="D31" s="18">
        <v>45377</v>
      </c>
      <c r="E31" s="17" t="s">
        <v>15</v>
      </c>
      <c r="F31" s="19">
        <v>15</v>
      </c>
      <c r="G31" s="17" t="s">
        <v>23</v>
      </c>
      <c r="H31" s="17" t="s">
        <v>15</v>
      </c>
      <c r="I31" s="19">
        <v>30</v>
      </c>
      <c r="J31" s="17" t="s">
        <v>15</v>
      </c>
      <c r="K31" s="19">
        <v>20</v>
      </c>
      <c r="L31" s="19">
        <v>7</v>
      </c>
      <c r="M31" s="19">
        <v>58</v>
      </c>
    </row>
    <row r="32" spans="1:13" ht="16.5" customHeight="1" x14ac:dyDescent="0.3">
      <c r="A32" s="17">
        <v>3261</v>
      </c>
      <c r="B32" s="17" t="s">
        <v>55</v>
      </c>
      <c r="C32" s="17" t="s">
        <v>22</v>
      </c>
      <c r="D32" s="18">
        <v>45378</v>
      </c>
      <c r="E32" s="17" t="s">
        <v>19</v>
      </c>
      <c r="F32" s="19">
        <v>10</v>
      </c>
      <c r="G32" s="17" t="s">
        <v>16</v>
      </c>
      <c r="H32" s="17" t="s">
        <v>19</v>
      </c>
      <c r="I32" s="19">
        <v>0</v>
      </c>
      <c r="J32" s="17" t="s">
        <v>15</v>
      </c>
      <c r="K32" s="19">
        <v>20</v>
      </c>
      <c r="L32" s="19">
        <v>10</v>
      </c>
      <c r="M32" s="19">
        <v>20</v>
      </c>
    </row>
    <row r="33" spans="1:13" ht="16.5" customHeight="1" x14ac:dyDescent="0.3">
      <c r="A33" s="17">
        <v>3262</v>
      </c>
      <c r="B33" s="17" t="s">
        <v>56</v>
      </c>
      <c r="C33" s="17" t="s">
        <v>18</v>
      </c>
      <c r="D33" s="18">
        <v>45379</v>
      </c>
      <c r="E33" s="17" t="s">
        <v>15</v>
      </c>
      <c r="F33" s="19">
        <v>5</v>
      </c>
      <c r="G33" s="17" t="s">
        <v>20</v>
      </c>
      <c r="H33" s="17" t="s">
        <v>19</v>
      </c>
      <c r="I33" s="19">
        <v>0</v>
      </c>
      <c r="J33" s="17" t="s">
        <v>19</v>
      </c>
      <c r="K33" s="19">
        <v>0</v>
      </c>
      <c r="L33" s="19">
        <v>0</v>
      </c>
      <c r="M33" s="19">
        <v>5</v>
      </c>
    </row>
    <row r="34" spans="1:13" ht="16.5" customHeight="1" x14ac:dyDescent="0.3">
      <c r="A34" s="17">
        <v>3263</v>
      </c>
      <c r="B34" s="17" t="s">
        <v>57</v>
      </c>
      <c r="C34" s="17" t="s">
        <v>14</v>
      </c>
      <c r="D34" s="18">
        <v>45380</v>
      </c>
      <c r="E34" s="17" t="s">
        <v>19</v>
      </c>
      <c r="F34" s="19">
        <v>15</v>
      </c>
      <c r="G34" s="17" t="s">
        <v>16</v>
      </c>
      <c r="H34" s="17" t="s">
        <v>15</v>
      </c>
      <c r="I34" s="19">
        <v>30</v>
      </c>
      <c r="J34" s="17" t="s">
        <v>15</v>
      </c>
      <c r="K34" s="19">
        <v>20</v>
      </c>
      <c r="L34" s="19">
        <v>3</v>
      </c>
      <c r="M34" s="19">
        <v>62</v>
      </c>
    </row>
    <row r="35" spans="1:13" ht="16.5" customHeight="1" x14ac:dyDescent="0.3">
      <c r="A35" s="17">
        <v>3264</v>
      </c>
      <c r="B35" s="17" t="s">
        <v>58</v>
      </c>
      <c r="C35" s="17" t="s">
        <v>22</v>
      </c>
      <c r="D35" s="18">
        <v>45381</v>
      </c>
      <c r="E35" s="17" t="s">
        <v>15</v>
      </c>
      <c r="F35" s="19">
        <v>10</v>
      </c>
      <c r="G35" s="17" t="s">
        <v>23</v>
      </c>
      <c r="H35" s="17" t="s">
        <v>19</v>
      </c>
      <c r="I35" s="19">
        <v>0</v>
      </c>
      <c r="J35" s="17" t="s">
        <v>15</v>
      </c>
      <c r="K35" s="19">
        <v>20</v>
      </c>
      <c r="L35" s="19">
        <v>15</v>
      </c>
      <c r="M35" s="19">
        <v>15</v>
      </c>
    </row>
    <row r="36" spans="1:13" ht="16.5" customHeight="1" x14ac:dyDescent="0.3">
      <c r="A36" s="17">
        <v>3265</v>
      </c>
      <c r="B36" s="17" t="s">
        <v>59</v>
      </c>
      <c r="C36" s="17" t="s">
        <v>18</v>
      </c>
      <c r="D36" s="18">
        <v>45382</v>
      </c>
      <c r="E36" s="17" t="s">
        <v>19</v>
      </c>
      <c r="F36" s="19">
        <v>5</v>
      </c>
      <c r="G36" s="17" t="s">
        <v>16</v>
      </c>
      <c r="H36" s="17" t="s">
        <v>19</v>
      </c>
      <c r="I36" s="19">
        <v>0</v>
      </c>
      <c r="J36" s="17" t="s">
        <v>19</v>
      </c>
      <c r="K36" s="19">
        <v>0</v>
      </c>
      <c r="L36" s="19">
        <v>1</v>
      </c>
      <c r="M36" s="19">
        <v>4</v>
      </c>
    </row>
    <row r="37" spans="1:13" ht="16.5" customHeight="1" x14ac:dyDescent="0.3">
      <c r="A37" s="17">
        <v>3266</v>
      </c>
      <c r="B37" s="17" t="s">
        <v>60</v>
      </c>
      <c r="C37" s="17" t="s">
        <v>18</v>
      </c>
      <c r="D37" s="18">
        <v>45383</v>
      </c>
      <c r="E37" s="17" t="s">
        <v>15</v>
      </c>
      <c r="F37" s="19">
        <v>5</v>
      </c>
      <c r="G37" s="17" t="s">
        <v>16</v>
      </c>
      <c r="H37" s="17" t="s">
        <v>19</v>
      </c>
      <c r="I37" s="19">
        <v>0</v>
      </c>
      <c r="J37" s="17" t="s">
        <v>19</v>
      </c>
      <c r="K37" s="19">
        <v>0</v>
      </c>
      <c r="L37" s="19">
        <v>0</v>
      </c>
      <c r="M37" s="19">
        <v>5</v>
      </c>
    </row>
    <row r="38" spans="1:13" ht="16.5" customHeight="1" x14ac:dyDescent="0.3">
      <c r="A38" s="17">
        <v>3267</v>
      </c>
      <c r="B38" s="17" t="s">
        <v>61</v>
      </c>
      <c r="C38" s="17" t="s">
        <v>14</v>
      </c>
      <c r="D38" s="18">
        <v>45384</v>
      </c>
      <c r="E38" s="17" t="s">
        <v>19</v>
      </c>
      <c r="F38" s="19">
        <v>15</v>
      </c>
      <c r="G38" s="17" t="s">
        <v>23</v>
      </c>
      <c r="H38" s="17" t="s">
        <v>15</v>
      </c>
      <c r="I38" s="19">
        <v>30</v>
      </c>
      <c r="J38" s="17" t="s">
        <v>15</v>
      </c>
      <c r="K38" s="19">
        <v>20</v>
      </c>
      <c r="L38" s="19">
        <v>7</v>
      </c>
      <c r="M38" s="19">
        <v>58</v>
      </c>
    </row>
    <row r="39" spans="1:13" ht="16.5" customHeight="1" x14ac:dyDescent="0.3">
      <c r="A39" s="17">
        <v>3268</v>
      </c>
      <c r="B39" s="17" t="s">
        <v>62</v>
      </c>
      <c r="C39" s="17" t="s">
        <v>22</v>
      </c>
      <c r="D39" s="18">
        <v>45385</v>
      </c>
      <c r="E39" s="17" t="s">
        <v>15</v>
      </c>
      <c r="F39" s="19">
        <v>10</v>
      </c>
      <c r="G39" s="17" t="s">
        <v>20</v>
      </c>
      <c r="H39" s="17" t="s">
        <v>19</v>
      </c>
      <c r="I39" s="19">
        <v>0</v>
      </c>
      <c r="J39" s="17" t="s">
        <v>15</v>
      </c>
      <c r="K39" s="19">
        <v>20</v>
      </c>
      <c r="L39" s="19">
        <v>10</v>
      </c>
      <c r="M39" s="19">
        <v>20</v>
      </c>
    </row>
    <row r="40" spans="1:13" ht="16.5" customHeight="1" x14ac:dyDescent="0.3">
      <c r="A40" s="17">
        <v>3269</v>
      </c>
      <c r="B40" s="17" t="s">
        <v>63</v>
      </c>
      <c r="C40" s="17" t="s">
        <v>18</v>
      </c>
      <c r="D40" s="18">
        <v>45386</v>
      </c>
      <c r="E40" s="17" t="s">
        <v>19</v>
      </c>
      <c r="F40" s="19">
        <v>5</v>
      </c>
      <c r="G40" s="17" t="s">
        <v>23</v>
      </c>
      <c r="H40" s="17" t="s">
        <v>19</v>
      </c>
      <c r="I40" s="19">
        <v>0</v>
      </c>
      <c r="J40" s="17" t="s">
        <v>19</v>
      </c>
      <c r="K40" s="19">
        <v>0</v>
      </c>
      <c r="L40" s="19">
        <v>1</v>
      </c>
      <c r="M40" s="19">
        <v>4</v>
      </c>
    </row>
    <row r="41" spans="1:13" ht="16.5" customHeight="1" x14ac:dyDescent="0.3">
      <c r="A41" s="17">
        <v>3270</v>
      </c>
      <c r="B41" s="17" t="s">
        <v>64</v>
      </c>
      <c r="C41" s="17" t="s">
        <v>14</v>
      </c>
      <c r="D41" s="18">
        <v>45387</v>
      </c>
      <c r="E41" s="17" t="s">
        <v>15</v>
      </c>
      <c r="F41" s="19">
        <v>15</v>
      </c>
      <c r="G41" s="17" t="s">
        <v>16</v>
      </c>
      <c r="H41" s="17" t="s">
        <v>15</v>
      </c>
      <c r="I41" s="19">
        <v>30</v>
      </c>
      <c r="J41" s="17" t="s">
        <v>15</v>
      </c>
      <c r="K41" s="19">
        <v>20</v>
      </c>
      <c r="L41" s="19">
        <v>15</v>
      </c>
      <c r="M41" s="19">
        <v>50</v>
      </c>
    </row>
    <row r="42" spans="1:13" ht="16.5" customHeight="1" x14ac:dyDescent="0.3">
      <c r="A42" s="17">
        <v>3271</v>
      </c>
      <c r="B42" s="17" t="s">
        <v>65</v>
      </c>
      <c r="C42" s="17" t="s">
        <v>22</v>
      </c>
      <c r="D42" s="18">
        <v>45388</v>
      </c>
      <c r="E42" s="17" t="s">
        <v>19</v>
      </c>
      <c r="F42" s="19">
        <v>10</v>
      </c>
      <c r="G42" s="17" t="s">
        <v>16</v>
      </c>
      <c r="H42" s="17" t="s">
        <v>19</v>
      </c>
      <c r="I42" s="19">
        <v>0</v>
      </c>
      <c r="J42" s="17" t="s">
        <v>15</v>
      </c>
      <c r="K42" s="19">
        <v>20</v>
      </c>
      <c r="L42" s="19">
        <v>5</v>
      </c>
      <c r="M42" s="19">
        <v>25</v>
      </c>
    </row>
    <row r="43" spans="1:13" ht="16.5" customHeight="1" x14ac:dyDescent="0.3">
      <c r="A43" s="17">
        <v>3272</v>
      </c>
      <c r="B43" s="17" t="s">
        <v>66</v>
      </c>
      <c r="C43" s="17" t="s">
        <v>18</v>
      </c>
      <c r="D43" s="18">
        <v>45389</v>
      </c>
      <c r="E43" s="17" t="s">
        <v>15</v>
      </c>
      <c r="F43" s="19">
        <v>5</v>
      </c>
      <c r="G43" s="17" t="s">
        <v>20</v>
      </c>
      <c r="H43" s="17" t="s">
        <v>19</v>
      </c>
      <c r="I43" s="19">
        <v>0</v>
      </c>
      <c r="J43" s="17" t="s">
        <v>19</v>
      </c>
      <c r="K43" s="19">
        <v>0</v>
      </c>
      <c r="L43" s="19">
        <v>0</v>
      </c>
      <c r="M43" s="19">
        <v>5</v>
      </c>
    </row>
    <row r="44" spans="1:13" ht="16.5" customHeight="1" x14ac:dyDescent="0.3">
      <c r="A44" s="17">
        <v>3273</v>
      </c>
      <c r="B44" s="17" t="s">
        <v>67</v>
      </c>
      <c r="C44" s="17" t="s">
        <v>14</v>
      </c>
      <c r="D44" s="18">
        <v>45390</v>
      </c>
      <c r="E44" s="17" t="s">
        <v>19</v>
      </c>
      <c r="F44" s="19">
        <v>15</v>
      </c>
      <c r="G44" s="17" t="s">
        <v>23</v>
      </c>
      <c r="H44" s="17" t="s">
        <v>15</v>
      </c>
      <c r="I44" s="19">
        <v>30</v>
      </c>
      <c r="J44" s="17" t="s">
        <v>15</v>
      </c>
      <c r="K44" s="19">
        <v>20</v>
      </c>
      <c r="L44" s="19">
        <v>20</v>
      </c>
      <c r="M44" s="19">
        <v>45</v>
      </c>
    </row>
    <row r="45" spans="1:13" ht="16.5" customHeight="1" x14ac:dyDescent="0.3">
      <c r="A45" s="17">
        <v>3274</v>
      </c>
      <c r="B45" s="17" t="s">
        <v>68</v>
      </c>
      <c r="C45" s="17" t="s">
        <v>22</v>
      </c>
      <c r="D45" s="18">
        <v>45391</v>
      </c>
      <c r="E45" s="17" t="s">
        <v>15</v>
      </c>
      <c r="F45" s="19">
        <v>10</v>
      </c>
      <c r="G45" s="17" t="s">
        <v>23</v>
      </c>
      <c r="H45" s="17" t="s">
        <v>19</v>
      </c>
      <c r="I45" s="19">
        <v>0</v>
      </c>
      <c r="J45" s="17" t="s">
        <v>15</v>
      </c>
      <c r="K45" s="19">
        <v>20</v>
      </c>
      <c r="L45" s="19">
        <v>12</v>
      </c>
      <c r="M45" s="19">
        <v>18</v>
      </c>
    </row>
    <row r="46" spans="1:13" ht="16.5" customHeight="1" x14ac:dyDescent="0.3">
      <c r="A46" s="17">
        <v>3275</v>
      </c>
      <c r="B46" s="17" t="s">
        <v>69</v>
      </c>
      <c r="C46" s="17" t="s">
        <v>18</v>
      </c>
      <c r="D46" s="18">
        <v>45392</v>
      </c>
      <c r="E46" s="17" t="s">
        <v>19</v>
      </c>
      <c r="F46" s="19">
        <v>5</v>
      </c>
      <c r="G46" s="17" t="s">
        <v>16</v>
      </c>
      <c r="H46" s="17" t="s">
        <v>19</v>
      </c>
      <c r="I46" s="19">
        <v>0</v>
      </c>
      <c r="J46" s="17" t="s">
        <v>19</v>
      </c>
      <c r="K46" s="19">
        <v>0</v>
      </c>
      <c r="L46" s="19">
        <v>2</v>
      </c>
      <c r="M46" s="19">
        <v>3</v>
      </c>
    </row>
    <row r="47" spans="1:13" ht="16.5" customHeight="1" x14ac:dyDescent="0.3">
      <c r="A47" s="17">
        <v>3276</v>
      </c>
      <c r="B47" s="17" t="s">
        <v>70</v>
      </c>
      <c r="C47" s="17" t="s">
        <v>14</v>
      </c>
      <c r="D47" s="18">
        <v>45393</v>
      </c>
      <c r="E47" s="17" t="s">
        <v>15</v>
      </c>
      <c r="F47" s="19">
        <v>15</v>
      </c>
      <c r="G47" s="17" t="s">
        <v>20</v>
      </c>
      <c r="H47" s="17" t="s">
        <v>15</v>
      </c>
      <c r="I47" s="19">
        <v>30</v>
      </c>
      <c r="J47" s="17" t="s">
        <v>15</v>
      </c>
      <c r="K47" s="19">
        <v>20</v>
      </c>
      <c r="L47" s="19">
        <v>5</v>
      </c>
      <c r="M47" s="19">
        <v>60</v>
      </c>
    </row>
    <row r="48" spans="1:13" ht="16.5" customHeight="1" x14ac:dyDescent="0.3">
      <c r="A48" s="17">
        <v>3277</v>
      </c>
      <c r="B48" s="17" t="s">
        <v>71</v>
      </c>
      <c r="C48" s="17" t="s">
        <v>22</v>
      </c>
      <c r="D48" s="18">
        <v>45394</v>
      </c>
      <c r="E48" s="17" t="s">
        <v>19</v>
      </c>
      <c r="F48" s="19">
        <v>10</v>
      </c>
      <c r="G48" s="17" t="s">
        <v>16</v>
      </c>
      <c r="H48" s="17" t="s">
        <v>19</v>
      </c>
      <c r="I48" s="19">
        <v>0</v>
      </c>
      <c r="J48" s="17" t="s">
        <v>15</v>
      </c>
      <c r="K48" s="19">
        <v>20</v>
      </c>
      <c r="L48" s="19">
        <v>10</v>
      </c>
      <c r="M48" s="19">
        <v>20</v>
      </c>
    </row>
    <row r="49" spans="1:13" ht="16.5" customHeight="1" x14ac:dyDescent="0.3">
      <c r="A49" s="17">
        <v>3278</v>
      </c>
      <c r="B49" s="17" t="s">
        <v>72</v>
      </c>
      <c r="C49" s="17" t="s">
        <v>18</v>
      </c>
      <c r="D49" s="18">
        <v>45395</v>
      </c>
      <c r="E49" s="17" t="s">
        <v>15</v>
      </c>
      <c r="F49" s="19">
        <v>5</v>
      </c>
      <c r="G49" s="17" t="s">
        <v>23</v>
      </c>
      <c r="H49" s="17" t="s">
        <v>19</v>
      </c>
      <c r="I49" s="19">
        <v>0</v>
      </c>
      <c r="J49" s="17" t="s">
        <v>19</v>
      </c>
      <c r="K49" s="19">
        <v>0</v>
      </c>
      <c r="L49" s="19">
        <v>0</v>
      </c>
      <c r="M49" s="19">
        <v>5</v>
      </c>
    </row>
    <row r="50" spans="1:13" ht="16.5" customHeight="1" x14ac:dyDescent="0.3">
      <c r="A50" s="17">
        <v>3279</v>
      </c>
      <c r="B50" s="17" t="s">
        <v>73</v>
      </c>
      <c r="C50" s="17" t="s">
        <v>14</v>
      </c>
      <c r="D50" s="18">
        <v>45396</v>
      </c>
      <c r="E50" s="17" t="s">
        <v>19</v>
      </c>
      <c r="F50" s="19">
        <v>15</v>
      </c>
      <c r="G50" s="17" t="s">
        <v>16</v>
      </c>
      <c r="H50" s="17" t="s">
        <v>15</v>
      </c>
      <c r="I50" s="19">
        <v>30</v>
      </c>
      <c r="J50" s="17" t="s">
        <v>15</v>
      </c>
      <c r="K50" s="19">
        <v>20</v>
      </c>
      <c r="L50" s="19">
        <v>3</v>
      </c>
      <c r="M50" s="19">
        <v>62</v>
      </c>
    </row>
    <row r="51" spans="1:13" ht="16.5" customHeight="1" x14ac:dyDescent="0.3">
      <c r="A51" s="17">
        <v>3280</v>
      </c>
      <c r="B51" s="17" t="s">
        <v>74</v>
      </c>
      <c r="C51" s="17" t="s">
        <v>22</v>
      </c>
      <c r="D51" s="18">
        <v>45397</v>
      </c>
      <c r="E51" s="17" t="s">
        <v>15</v>
      </c>
      <c r="F51" s="19">
        <v>10</v>
      </c>
      <c r="G51" s="17" t="s">
        <v>20</v>
      </c>
      <c r="H51" s="17" t="s">
        <v>19</v>
      </c>
      <c r="I51" s="19">
        <v>0</v>
      </c>
      <c r="J51" s="17" t="s">
        <v>15</v>
      </c>
      <c r="K51" s="19">
        <v>20</v>
      </c>
      <c r="L51" s="19">
        <v>15</v>
      </c>
      <c r="M51" s="19">
        <v>15</v>
      </c>
    </row>
    <row r="52" spans="1:13" ht="16.5" customHeight="1" x14ac:dyDescent="0.3">
      <c r="A52" s="17">
        <v>3281</v>
      </c>
      <c r="B52" s="17" t="s">
        <v>75</v>
      </c>
      <c r="C52" s="17" t="s">
        <v>18</v>
      </c>
      <c r="D52" s="18">
        <v>45398</v>
      </c>
      <c r="E52" s="17" t="s">
        <v>19</v>
      </c>
      <c r="F52" s="19">
        <v>5</v>
      </c>
      <c r="G52" s="17" t="s">
        <v>16</v>
      </c>
      <c r="H52" s="17" t="s">
        <v>19</v>
      </c>
      <c r="I52" s="19">
        <v>0</v>
      </c>
      <c r="J52" s="17" t="s">
        <v>19</v>
      </c>
      <c r="K52" s="19">
        <v>0</v>
      </c>
      <c r="L52" s="19">
        <v>1</v>
      </c>
      <c r="M52" s="19">
        <v>4</v>
      </c>
    </row>
    <row r="53" spans="1:13" ht="16.5" customHeight="1" x14ac:dyDescent="0.3">
      <c r="A53" s="17">
        <v>3282</v>
      </c>
      <c r="B53" s="17" t="s">
        <v>76</v>
      </c>
      <c r="C53" s="17" t="s">
        <v>14</v>
      </c>
      <c r="D53" s="18">
        <v>45399</v>
      </c>
      <c r="E53" s="17" t="s">
        <v>15</v>
      </c>
      <c r="F53" s="19">
        <v>15</v>
      </c>
      <c r="G53" s="17" t="s">
        <v>23</v>
      </c>
      <c r="H53" s="17" t="s">
        <v>15</v>
      </c>
      <c r="I53" s="19">
        <v>30</v>
      </c>
      <c r="J53" s="17" t="s">
        <v>15</v>
      </c>
      <c r="K53" s="19">
        <v>20</v>
      </c>
      <c r="L53" s="19">
        <v>7</v>
      </c>
      <c r="M53" s="19">
        <v>58</v>
      </c>
    </row>
    <row r="54" spans="1:13" ht="16.5" customHeight="1" x14ac:dyDescent="0.3">
      <c r="A54" s="17">
        <v>3283</v>
      </c>
      <c r="B54" s="17" t="s">
        <v>77</v>
      </c>
      <c r="C54" s="17" t="s">
        <v>22</v>
      </c>
      <c r="D54" s="18">
        <v>45400</v>
      </c>
      <c r="E54" s="17" t="s">
        <v>19</v>
      </c>
      <c r="F54" s="19">
        <v>10</v>
      </c>
      <c r="G54" s="17" t="s">
        <v>16</v>
      </c>
      <c r="H54" s="17" t="s">
        <v>19</v>
      </c>
      <c r="I54" s="19">
        <v>0</v>
      </c>
      <c r="J54" s="17" t="s">
        <v>15</v>
      </c>
      <c r="K54" s="19">
        <v>20</v>
      </c>
      <c r="L54" s="19">
        <v>10</v>
      </c>
      <c r="M54" s="19">
        <v>20</v>
      </c>
    </row>
    <row r="55" spans="1:13" ht="16.5" customHeight="1" x14ac:dyDescent="0.3">
      <c r="A55" s="17">
        <v>3284</v>
      </c>
      <c r="B55" s="17" t="s">
        <v>78</v>
      </c>
      <c r="C55" s="17" t="s">
        <v>18</v>
      </c>
      <c r="D55" s="18">
        <v>45401</v>
      </c>
      <c r="E55" s="17" t="s">
        <v>15</v>
      </c>
      <c r="F55" s="19">
        <v>5</v>
      </c>
      <c r="G55" s="17" t="s">
        <v>20</v>
      </c>
      <c r="H55" s="17" t="s">
        <v>19</v>
      </c>
      <c r="I55" s="19">
        <v>0</v>
      </c>
      <c r="J55" s="17" t="s">
        <v>19</v>
      </c>
      <c r="K55" s="19">
        <v>0</v>
      </c>
      <c r="L55" s="19">
        <v>0</v>
      </c>
      <c r="M55" s="19">
        <v>5</v>
      </c>
    </row>
    <row r="56" spans="1:13" ht="16.5" customHeight="1" x14ac:dyDescent="0.3">
      <c r="A56" s="17">
        <v>3285</v>
      </c>
      <c r="B56" s="17" t="s">
        <v>79</v>
      </c>
      <c r="C56" s="17" t="s">
        <v>14</v>
      </c>
      <c r="D56" s="18">
        <v>45402</v>
      </c>
      <c r="E56" s="17" t="s">
        <v>19</v>
      </c>
      <c r="F56" s="19">
        <v>15</v>
      </c>
      <c r="G56" s="17" t="s">
        <v>16</v>
      </c>
      <c r="H56" s="17" t="s">
        <v>15</v>
      </c>
      <c r="I56" s="19">
        <v>30</v>
      </c>
      <c r="J56" s="17" t="s">
        <v>15</v>
      </c>
      <c r="K56" s="19">
        <v>20</v>
      </c>
      <c r="L56" s="19">
        <v>20</v>
      </c>
      <c r="M56" s="19">
        <v>45</v>
      </c>
    </row>
    <row r="57" spans="1:13" ht="16.5" customHeight="1" x14ac:dyDescent="0.3">
      <c r="A57" s="17">
        <v>3286</v>
      </c>
      <c r="B57" s="17" t="s">
        <v>80</v>
      </c>
      <c r="C57" s="17" t="s">
        <v>22</v>
      </c>
      <c r="D57" s="18">
        <v>45403</v>
      </c>
      <c r="E57" s="17" t="s">
        <v>15</v>
      </c>
      <c r="F57" s="19">
        <v>10</v>
      </c>
      <c r="G57" s="17" t="s">
        <v>23</v>
      </c>
      <c r="H57" s="17" t="s">
        <v>19</v>
      </c>
      <c r="I57" s="19">
        <v>0</v>
      </c>
      <c r="J57" s="17" t="s">
        <v>15</v>
      </c>
      <c r="K57" s="19">
        <v>20</v>
      </c>
      <c r="L57" s="19">
        <v>15</v>
      </c>
      <c r="M57" s="19">
        <v>15</v>
      </c>
    </row>
    <row r="58" spans="1:13" ht="16.5" customHeight="1" x14ac:dyDescent="0.3">
      <c r="A58" s="17">
        <v>3287</v>
      </c>
      <c r="B58" s="17" t="s">
        <v>81</v>
      </c>
      <c r="C58" s="17" t="s">
        <v>18</v>
      </c>
      <c r="D58" s="18">
        <v>45404</v>
      </c>
      <c r="E58" s="17" t="s">
        <v>19</v>
      </c>
      <c r="F58" s="19">
        <v>5</v>
      </c>
      <c r="G58" s="17" t="s">
        <v>16</v>
      </c>
      <c r="H58" s="17" t="s">
        <v>19</v>
      </c>
      <c r="I58" s="19">
        <v>0</v>
      </c>
      <c r="J58" s="17" t="s">
        <v>19</v>
      </c>
      <c r="K58" s="19">
        <v>0</v>
      </c>
      <c r="L58" s="19">
        <v>1</v>
      </c>
      <c r="M58" s="19">
        <v>4</v>
      </c>
    </row>
    <row r="59" spans="1:13" ht="16.5" customHeight="1" x14ac:dyDescent="0.3">
      <c r="A59" s="17">
        <v>3288</v>
      </c>
      <c r="B59" s="17" t="s">
        <v>82</v>
      </c>
      <c r="C59" s="17" t="s">
        <v>14</v>
      </c>
      <c r="D59" s="18">
        <v>45405</v>
      </c>
      <c r="E59" s="17" t="s">
        <v>15</v>
      </c>
      <c r="F59" s="19">
        <v>15</v>
      </c>
      <c r="G59" s="17" t="s">
        <v>20</v>
      </c>
      <c r="H59" s="17" t="s">
        <v>15</v>
      </c>
      <c r="I59" s="19">
        <v>30</v>
      </c>
      <c r="J59" s="17" t="s">
        <v>15</v>
      </c>
      <c r="K59" s="19">
        <v>20</v>
      </c>
      <c r="L59" s="19">
        <v>3</v>
      </c>
      <c r="M59" s="19">
        <v>62</v>
      </c>
    </row>
    <row r="60" spans="1:13" ht="16.5" customHeight="1" x14ac:dyDescent="0.3">
      <c r="A60" s="17">
        <v>3289</v>
      </c>
      <c r="B60" s="17" t="s">
        <v>83</v>
      </c>
      <c r="C60" s="17" t="s">
        <v>22</v>
      </c>
      <c r="D60" s="18">
        <v>45406</v>
      </c>
      <c r="E60" s="17" t="s">
        <v>19</v>
      </c>
      <c r="F60" s="19">
        <v>10</v>
      </c>
      <c r="G60" s="17" t="s">
        <v>16</v>
      </c>
      <c r="H60" s="17" t="s">
        <v>19</v>
      </c>
      <c r="I60" s="19">
        <v>0</v>
      </c>
      <c r="J60" s="17" t="s">
        <v>15</v>
      </c>
      <c r="K60" s="19">
        <v>20</v>
      </c>
      <c r="L60" s="19">
        <v>10</v>
      </c>
      <c r="M60" s="19">
        <v>20</v>
      </c>
    </row>
    <row r="61" spans="1:13" ht="16.5" customHeight="1" x14ac:dyDescent="0.3">
      <c r="A61" s="17">
        <v>3290</v>
      </c>
      <c r="B61" s="17" t="s">
        <v>84</v>
      </c>
      <c r="C61" s="17" t="s">
        <v>18</v>
      </c>
      <c r="D61" s="18">
        <v>45407</v>
      </c>
      <c r="E61" s="17" t="s">
        <v>15</v>
      </c>
      <c r="F61" s="19">
        <v>5</v>
      </c>
      <c r="G61" s="17" t="s">
        <v>23</v>
      </c>
      <c r="H61" s="17" t="s">
        <v>19</v>
      </c>
      <c r="I61" s="19">
        <v>0</v>
      </c>
      <c r="J61" s="17" t="s">
        <v>19</v>
      </c>
      <c r="K61" s="19">
        <v>0</v>
      </c>
      <c r="L61" s="19">
        <v>0</v>
      </c>
      <c r="M61" s="19">
        <v>5</v>
      </c>
    </row>
    <row r="62" spans="1:13" ht="16.5" customHeight="1" x14ac:dyDescent="0.3">
      <c r="A62" s="17">
        <v>3291</v>
      </c>
      <c r="B62" s="17" t="s">
        <v>85</v>
      </c>
      <c r="C62" s="17" t="s">
        <v>14</v>
      </c>
      <c r="D62" s="18">
        <v>45408</v>
      </c>
      <c r="E62" s="17" t="s">
        <v>19</v>
      </c>
      <c r="F62" s="19">
        <v>15</v>
      </c>
      <c r="G62" s="17" t="s">
        <v>16</v>
      </c>
      <c r="H62" s="17" t="s">
        <v>15</v>
      </c>
      <c r="I62" s="19">
        <v>30</v>
      </c>
      <c r="J62" s="17" t="s">
        <v>15</v>
      </c>
      <c r="K62" s="19">
        <v>20</v>
      </c>
      <c r="L62" s="19">
        <v>5</v>
      </c>
      <c r="M62" s="19">
        <v>60</v>
      </c>
    </row>
    <row r="63" spans="1:13" ht="16.5" customHeight="1" x14ac:dyDescent="0.3">
      <c r="A63" s="17">
        <v>3292</v>
      </c>
      <c r="B63" s="17" t="s">
        <v>86</v>
      </c>
      <c r="C63" s="17" t="s">
        <v>22</v>
      </c>
      <c r="D63" s="18">
        <v>45409</v>
      </c>
      <c r="E63" s="17" t="s">
        <v>15</v>
      </c>
      <c r="F63" s="19">
        <v>10</v>
      </c>
      <c r="G63" s="17" t="s">
        <v>20</v>
      </c>
      <c r="H63" s="17" t="s">
        <v>19</v>
      </c>
      <c r="I63" s="19">
        <v>0</v>
      </c>
      <c r="J63" s="17" t="s">
        <v>15</v>
      </c>
      <c r="K63" s="19">
        <v>20</v>
      </c>
      <c r="L63" s="19">
        <v>15</v>
      </c>
      <c r="M63" s="19">
        <v>15</v>
      </c>
    </row>
    <row r="64" spans="1:13" ht="16.5" customHeight="1" x14ac:dyDescent="0.3">
      <c r="A64" s="17">
        <v>3293</v>
      </c>
      <c r="B64" s="17" t="s">
        <v>87</v>
      </c>
      <c r="C64" s="17" t="s">
        <v>18</v>
      </c>
      <c r="D64" s="18">
        <v>45410</v>
      </c>
      <c r="E64" s="17" t="s">
        <v>19</v>
      </c>
      <c r="F64" s="19">
        <v>5</v>
      </c>
      <c r="G64" s="17" t="s">
        <v>16</v>
      </c>
      <c r="H64" s="17" t="s">
        <v>19</v>
      </c>
      <c r="I64" s="19">
        <v>0</v>
      </c>
      <c r="J64" s="17" t="s">
        <v>19</v>
      </c>
      <c r="K64" s="19">
        <v>0</v>
      </c>
      <c r="L64" s="19">
        <v>1</v>
      </c>
      <c r="M64" s="19">
        <v>4</v>
      </c>
    </row>
    <row r="65" spans="1:13" ht="16.5" customHeight="1" x14ac:dyDescent="0.3">
      <c r="A65" s="17">
        <v>3294</v>
      </c>
      <c r="B65" s="17" t="s">
        <v>88</v>
      </c>
      <c r="C65" s="17" t="s">
        <v>14</v>
      </c>
      <c r="D65" s="18">
        <v>45411</v>
      </c>
      <c r="E65" s="17" t="s">
        <v>15</v>
      </c>
      <c r="F65" s="19">
        <v>15</v>
      </c>
      <c r="G65" s="17" t="s">
        <v>23</v>
      </c>
      <c r="H65" s="17" t="s">
        <v>15</v>
      </c>
      <c r="I65" s="19">
        <v>30</v>
      </c>
      <c r="J65" s="17" t="s">
        <v>15</v>
      </c>
      <c r="K65" s="19">
        <v>20</v>
      </c>
      <c r="L65" s="19">
        <v>20</v>
      </c>
      <c r="M65" s="19">
        <v>45</v>
      </c>
    </row>
    <row r="66" spans="1:13" ht="16.5" customHeight="1" x14ac:dyDescent="0.3">
      <c r="A66" s="17">
        <v>3295</v>
      </c>
      <c r="B66" s="17" t="s">
        <v>89</v>
      </c>
      <c r="C66" s="17" t="s">
        <v>22</v>
      </c>
      <c r="D66" s="18">
        <v>45412</v>
      </c>
      <c r="E66" s="17" t="s">
        <v>19</v>
      </c>
      <c r="F66" s="19">
        <v>10</v>
      </c>
      <c r="G66" s="17" t="s">
        <v>16</v>
      </c>
      <c r="H66" s="17" t="s">
        <v>19</v>
      </c>
      <c r="I66" s="19">
        <v>0</v>
      </c>
      <c r="J66" s="17" t="s">
        <v>15</v>
      </c>
      <c r="K66" s="19">
        <v>20</v>
      </c>
      <c r="L66" s="19">
        <v>5</v>
      </c>
      <c r="M66" s="19">
        <v>25</v>
      </c>
    </row>
    <row r="67" spans="1:13" ht="16.5" customHeight="1" x14ac:dyDescent="0.3">
      <c r="A67" s="17">
        <v>3296</v>
      </c>
      <c r="B67" s="17" t="s">
        <v>90</v>
      </c>
      <c r="C67" s="17" t="s">
        <v>18</v>
      </c>
      <c r="D67" s="18">
        <v>45413</v>
      </c>
      <c r="E67" s="17" t="s">
        <v>19</v>
      </c>
      <c r="F67" s="19">
        <v>5</v>
      </c>
      <c r="G67" s="17" t="s">
        <v>16</v>
      </c>
      <c r="H67" s="17" t="s">
        <v>19</v>
      </c>
      <c r="I67" s="19">
        <v>0</v>
      </c>
      <c r="J67" s="17" t="s">
        <v>19</v>
      </c>
      <c r="K67" s="19">
        <v>0</v>
      </c>
      <c r="L67" s="19">
        <v>0</v>
      </c>
      <c r="M67" s="19">
        <v>5</v>
      </c>
    </row>
    <row r="68" spans="1:13" ht="16.5" customHeight="1" x14ac:dyDescent="0.3">
      <c r="A68" s="17">
        <v>3297</v>
      </c>
      <c r="B68" s="17" t="s">
        <v>91</v>
      </c>
      <c r="C68" s="17" t="s">
        <v>14</v>
      </c>
      <c r="D68" s="18">
        <v>45414</v>
      </c>
      <c r="E68" s="17" t="s">
        <v>15</v>
      </c>
      <c r="F68" s="19">
        <v>15</v>
      </c>
      <c r="G68" s="17" t="s">
        <v>23</v>
      </c>
      <c r="H68" s="17" t="s">
        <v>15</v>
      </c>
      <c r="I68" s="19">
        <v>30</v>
      </c>
      <c r="J68" s="17" t="s">
        <v>15</v>
      </c>
      <c r="K68" s="19">
        <v>20</v>
      </c>
      <c r="L68" s="19">
        <v>7</v>
      </c>
      <c r="M68" s="19">
        <v>58</v>
      </c>
    </row>
    <row r="69" spans="1:13" ht="16.5" customHeight="1" x14ac:dyDescent="0.3">
      <c r="A69" s="17">
        <v>3298</v>
      </c>
      <c r="B69" s="17" t="s">
        <v>92</v>
      </c>
      <c r="C69" s="17" t="s">
        <v>22</v>
      </c>
      <c r="D69" s="18">
        <v>45415</v>
      </c>
      <c r="E69" s="17" t="s">
        <v>19</v>
      </c>
      <c r="F69" s="19">
        <v>10</v>
      </c>
      <c r="G69" s="17" t="s">
        <v>20</v>
      </c>
      <c r="H69" s="17" t="s">
        <v>19</v>
      </c>
      <c r="I69" s="19">
        <v>0</v>
      </c>
      <c r="J69" s="17" t="s">
        <v>15</v>
      </c>
      <c r="K69" s="19">
        <v>20</v>
      </c>
      <c r="L69" s="19">
        <v>10</v>
      </c>
      <c r="M69" s="19">
        <v>20</v>
      </c>
    </row>
    <row r="70" spans="1:13" ht="16.5" customHeight="1" x14ac:dyDescent="0.3">
      <c r="A70" s="17">
        <v>3299</v>
      </c>
      <c r="B70" s="17" t="s">
        <v>93</v>
      </c>
      <c r="C70" s="17" t="s">
        <v>18</v>
      </c>
      <c r="D70" s="18">
        <v>45416</v>
      </c>
      <c r="E70" s="17" t="s">
        <v>15</v>
      </c>
      <c r="F70" s="19">
        <v>5</v>
      </c>
      <c r="G70" s="17" t="s">
        <v>23</v>
      </c>
      <c r="H70" s="17" t="s">
        <v>19</v>
      </c>
      <c r="I70" s="19">
        <v>0</v>
      </c>
      <c r="J70" s="17" t="s">
        <v>19</v>
      </c>
      <c r="K70" s="19">
        <v>0</v>
      </c>
      <c r="L70" s="19">
        <v>1</v>
      </c>
      <c r="M70" s="19">
        <v>4</v>
      </c>
    </row>
    <row r="71" spans="1:13" ht="16.5" customHeight="1" x14ac:dyDescent="0.3">
      <c r="A71" s="17">
        <v>3300</v>
      </c>
      <c r="B71" s="17" t="s">
        <v>94</v>
      </c>
      <c r="C71" s="17" t="s">
        <v>14</v>
      </c>
      <c r="D71" s="18">
        <v>45417</v>
      </c>
      <c r="E71" s="17" t="s">
        <v>19</v>
      </c>
      <c r="F71" s="19">
        <v>15</v>
      </c>
      <c r="G71" s="17" t="s">
        <v>16</v>
      </c>
      <c r="H71" s="17" t="s">
        <v>15</v>
      </c>
      <c r="I71" s="19">
        <v>30</v>
      </c>
      <c r="J71" s="17" t="s">
        <v>15</v>
      </c>
      <c r="K71" s="19">
        <v>20</v>
      </c>
      <c r="L71" s="19">
        <v>15</v>
      </c>
      <c r="M71" s="19">
        <v>50</v>
      </c>
    </row>
    <row r="72" spans="1:13" ht="16.5" customHeight="1" x14ac:dyDescent="0.3">
      <c r="A72" s="17">
        <v>3301</v>
      </c>
      <c r="B72" s="17" t="s">
        <v>95</v>
      </c>
      <c r="C72" s="17" t="s">
        <v>22</v>
      </c>
      <c r="D72" s="18">
        <v>45418</v>
      </c>
      <c r="E72" s="17" t="s">
        <v>15</v>
      </c>
      <c r="F72" s="19">
        <v>10</v>
      </c>
      <c r="G72" s="17" t="s">
        <v>16</v>
      </c>
      <c r="H72" s="17" t="s">
        <v>19</v>
      </c>
      <c r="I72" s="19">
        <v>0</v>
      </c>
      <c r="J72" s="17" t="s">
        <v>15</v>
      </c>
      <c r="K72" s="19">
        <v>20</v>
      </c>
      <c r="L72" s="19">
        <v>5</v>
      </c>
      <c r="M72" s="19">
        <v>25</v>
      </c>
    </row>
    <row r="73" spans="1:13" ht="16.5" customHeight="1" x14ac:dyDescent="0.3">
      <c r="A73" s="17">
        <v>3302</v>
      </c>
      <c r="B73" s="17" t="s">
        <v>96</v>
      </c>
      <c r="C73" s="17" t="s">
        <v>18</v>
      </c>
      <c r="D73" s="18">
        <v>45419</v>
      </c>
      <c r="E73" s="17" t="s">
        <v>19</v>
      </c>
      <c r="F73" s="19">
        <v>5</v>
      </c>
      <c r="G73" s="17" t="s">
        <v>20</v>
      </c>
      <c r="H73" s="17" t="s">
        <v>19</v>
      </c>
      <c r="I73" s="19">
        <v>0</v>
      </c>
      <c r="J73" s="17" t="s">
        <v>19</v>
      </c>
      <c r="K73" s="19">
        <v>0</v>
      </c>
      <c r="L73" s="19">
        <v>0</v>
      </c>
      <c r="M73" s="19">
        <v>5</v>
      </c>
    </row>
    <row r="74" spans="1:13" ht="16.5" customHeight="1" x14ac:dyDescent="0.3">
      <c r="A74" s="17">
        <v>3303</v>
      </c>
      <c r="B74" s="17" t="s">
        <v>97</v>
      </c>
      <c r="C74" s="17" t="s">
        <v>14</v>
      </c>
      <c r="D74" s="18">
        <v>45420</v>
      </c>
      <c r="E74" s="17" t="s">
        <v>15</v>
      </c>
      <c r="F74" s="19">
        <v>15</v>
      </c>
      <c r="G74" s="17" t="s">
        <v>23</v>
      </c>
      <c r="H74" s="17" t="s">
        <v>15</v>
      </c>
      <c r="I74" s="19">
        <v>30</v>
      </c>
      <c r="J74" s="17" t="s">
        <v>15</v>
      </c>
      <c r="K74" s="19">
        <v>20</v>
      </c>
      <c r="L74" s="19">
        <v>20</v>
      </c>
      <c r="M74" s="19">
        <v>45</v>
      </c>
    </row>
    <row r="75" spans="1:13" ht="16.5" customHeight="1" x14ac:dyDescent="0.3">
      <c r="A75" s="17">
        <v>3304</v>
      </c>
      <c r="B75" s="17" t="s">
        <v>98</v>
      </c>
      <c r="C75" s="17" t="s">
        <v>22</v>
      </c>
      <c r="D75" s="18">
        <v>45421</v>
      </c>
      <c r="E75" s="17" t="s">
        <v>19</v>
      </c>
      <c r="F75" s="19">
        <v>10</v>
      </c>
      <c r="G75" s="17" t="s">
        <v>23</v>
      </c>
      <c r="H75" s="17" t="s">
        <v>19</v>
      </c>
      <c r="I75" s="19">
        <v>0</v>
      </c>
      <c r="J75" s="17" t="s">
        <v>15</v>
      </c>
      <c r="K75" s="19">
        <v>20</v>
      </c>
      <c r="L75" s="19">
        <v>12</v>
      </c>
      <c r="M75" s="19">
        <v>18</v>
      </c>
    </row>
    <row r="76" spans="1:13" ht="16.5" customHeight="1" x14ac:dyDescent="0.3">
      <c r="A76" s="17">
        <v>3305</v>
      </c>
      <c r="B76" s="17" t="s">
        <v>99</v>
      </c>
      <c r="C76" s="17" t="s">
        <v>18</v>
      </c>
      <c r="D76" s="18">
        <v>45422</v>
      </c>
      <c r="E76" s="17" t="s">
        <v>15</v>
      </c>
      <c r="F76" s="19">
        <v>5</v>
      </c>
      <c r="G76" s="17" t="s">
        <v>16</v>
      </c>
      <c r="H76" s="17" t="s">
        <v>19</v>
      </c>
      <c r="I76" s="19">
        <v>0</v>
      </c>
      <c r="J76" s="17" t="s">
        <v>19</v>
      </c>
      <c r="K76" s="19">
        <v>0</v>
      </c>
      <c r="L76" s="19">
        <v>2</v>
      </c>
      <c r="M76" s="19">
        <v>3</v>
      </c>
    </row>
    <row r="77" spans="1:13" ht="16.5" customHeight="1" x14ac:dyDescent="0.3">
      <c r="A77" s="17">
        <v>3306</v>
      </c>
      <c r="B77" s="17" t="s">
        <v>100</v>
      </c>
      <c r="C77" s="17" t="s">
        <v>14</v>
      </c>
      <c r="D77" s="18">
        <v>45423</v>
      </c>
      <c r="E77" s="17" t="s">
        <v>19</v>
      </c>
      <c r="F77" s="19">
        <v>15</v>
      </c>
      <c r="G77" s="17" t="s">
        <v>20</v>
      </c>
      <c r="H77" s="17" t="s">
        <v>15</v>
      </c>
      <c r="I77" s="19">
        <v>30</v>
      </c>
      <c r="J77" s="17" t="s">
        <v>15</v>
      </c>
      <c r="K77" s="19">
        <v>20</v>
      </c>
      <c r="L77" s="19">
        <v>5</v>
      </c>
      <c r="M77" s="19">
        <v>60</v>
      </c>
    </row>
    <row r="78" spans="1:13" ht="16.5" customHeight="1" x14ac:dyDescent="0.3">
      <c r="A78" s="17">
        <v>3307</v>
      </c>
      <c r="B78" s="17" t="s">
        <v>101</v>
      </c>
      <c r="C78" s="17" t="s">
        <v>22</v>
      </c>
      <c r="D78" s="18">
        <v>45424</v>
      </c>
      <c r="E78" s="17" t="s">
        <v>15</v>
      </c>
      <c r="F78" s="19">
        <v>10</v>
      </c>
      <c r="G78" s="17" t="s">
        <v>16</v>
      </c>
      <c r="H78" s="17" t="s">
        <v>19</v>
      </c>
      <c r="I78" s="19">
        <v>0</v>
      </c>
      <c r="J78" s="17" t="s">
        <v>15</v>
      </c>
      <c r="K78" s="19">
        <v>20</v>
      </c>
      <c r="L78" s="19">
        <v>10</v>
      </c>
      <c r="M78" s="19">
        <v>20</v>
      </c>
    </row>
    <row r="79" spans="1:13" ht="16.5" customHeight="1" x14ac:dyDescent="0.3">
      <c r="A79" s="17">
        <v>3308</v>
      </c>
      <c r="B79" s="17" t="s">
        <v>102</v>
      </c>
      <c r="C79" s="17" t="s">
        <v>18</v>
      </c>
      <c r="D79" s="18">
        <v>45425</v>
      </c>
      <c r="E79" s="17" t="s">
        <v>19</v>
      </c>
      <c r="F79" s="19">
        <v>5</v>
      </c>
      <c r="G79" s="17" t="s">
        <v>23</v>
      </c>
      <c r="H79" s="17" t="s">
        <v>19</v>
      </c>
      <c r="I79" s="19">
        <v>0</v>
      </c>
      <c r="J79" s="17" t="s">
        <v>19</v>
      </c>
      <c r="K79" s="19">
        <v>0</v>
      </c>
      <c r="L79" s="19">
        <v>0</v>
      </c>
      <c r="M79" s="19">
        <v>5</v>
      </c>
    </row>
    <row r="80" spans="1:13" ht="16.5" customHeight="1" x14ac:dyDescent="0.3">
      <c r="A80" s="17">
        <v>3309</v>
      </c>
      <c r="B80" s="17" t="s">
        <v>103</v>
      </c>
      <c r="C80" s="17" t="s">
        <v>14</v>
      </c>
      <c r="D80" s="18">
        <v>45426</v>
      </c>
      <c r="E80" s="17" t="s">
        <v>15</v>
      </c>
      <c r="F80" s="19">
        <v>15</v>
      </c>
      <c r="G80" s="17" t="s">
        <v>16</v>
      </c>
      <c r="H80" s="17" t="s">
        <v>15</v>
      </c>
      <c r="I80" s="19">
        <v>30</v>
      </c>
      <c r="J80" s="17" t="s">
        <v>15</v>
      </c>
      <c r="K80" s="19">
        <v>20</v>
      </c>
      <c r="L80" s="19">
        <v>3</v>
      </c>
      <c r="M80" s="19">
        <v>62</v>
      </c>
    </row>
    <row r="81" spans="1:13" ht="16.5" customHeight="1" x14ac:dyDescent="0.3">
      <c r="A81" s="17">
        <v>3310</v>
      </c>
      <c r="B81" s="17" t="s">
        <v>104</v>
      </c>
      <c r="C81" s="17" t="s">
        <v>22</v>
      </c>
      <c r="D81" s="18">
        <v>45427</v>
      </c>
      <c r="E81" s="17" t="s">
        <v>19</v>
      </c>
      <c r="F81" s="19">
        <v>10</v>
      </c>
      <c r="G81" s="17" t="s">
        <v>20</v>
      </c>
      <c r="H81" s="17" t="s">
        <v>19</v>
      </c>
      <c r="I81" s="19">
        <v>0</v>
      </c>
      <c r="J81" s="17" t="s">
        <v>15</v>
      </c>
      <c r="K81" s="19">
        <v>20</v>
      </c>
      <c r="L81" s="19">
        <v>15</v>
      </c>
      <c r="M81" s="19">
        <v>15</v>
      </c>
    </row>
    <row r="82" spans="1:13" ht="16.5" customHeight="1" x14ac:dyDescent="0.3">
      <c r="A82" s="17">
        <v>3311</v>
      </c>
      <c r="B82" s="17" t="s">
        <v>105</v>
      </c>
      <c r="C82" s="17" t="s">
        <v>18</v>
      </c>
      <c r="D82" s="18">
        <v>45428</v>
      </c>
      <c r="E82" s="17" t="s">
        <v>15</v>
      </c>
      <c r="F82" s="19">
        <v>5</v>
      </c>
      <c r="G82" s="17" t="s">
        <v>16</v>
      </c>
      <c r="H82" s="17" t="s">
        <v>19</v>
      </c>
      <c r="I82" s="19">
        <v>0</v>
      </c>
      <c r="J82" s="17" t="s">
        <v>19</v>
      </c>
      <c r="K82" s="19">
        <v>0</v>
      </c>
      <c r="L82" s="19">
        <v>1</v>
      </c>
      <c r="M82" s="19">
        <v>4</v>
      </c>
    </row>
    <row r="83" spans="1:13" ht="16.5" customHeight="1" x14ac:dyDescent="0.3">
      <c r="A83" s="17">
        <v>3312</v>
      </c>
      <c r="B83" s="17" t="s">
        <v>106</v>
      </c>
      <c r="C83" s="17" t="s">
        <v>14</v>
      </c>
      <c r="D83" s="18">
        <v>45429</v>
      </c>
      <c r="E83" s="17" t="s">
        <v>19</v>
      </c>
      <c r="F83" s="19">
        <v>15</v>
      </c>
      <c r="G83" s="17" t="s">
        <v>23</v>
      </c>
      <c r="H83" s="17" t="s">
        <v>15</v>
      </c>
      <c r="I83" s="19">
        <v>30</v>
      </c>
      <c r="J83" s="17" t="s">
        <v>15</v>
      </c>
      <c r="K83" s="19">
        <v>20</v>
      </c>
      <c r="L83" s="19">
        <v>7</v>
      </c>
      <c r="M83" s="19">
        <v>58</v>
      </c>
    </row>
    <row r="84" spans="1:13" ht="16.5" customHeight="1" x14ac:dyDescent="0.3">
      <c r="A84" s="17">
        <v>3313</v>
      </c>
      <c r="B84" s="17" t="s">
        <v>107</v>
      </c>
      <c r="C84" s="17" t="s">
        <v>22</v>
      </c>
      <c r="D84" s="18">
        <v>45430</v>
      </c>
      <c r="E84" s="17" t="s">
        <v>15</v>
      </c>
      <c r="F84" s="19">
        <v>10</v>
      </c>
      <c r="G84" s="17" t="s">
        <v>16</v>
      </c>
      <c r="H84" s="17" t="s">
        <v>19</v>
      </c>
      <c r="I84" s="19">
        <v>0</v>
      </c>
      <c r="J84" s="17" t="s">
        <v>15</v>
      </c>
      <c r="K84" s="19">
        <v>20</v>
      </c>
      <c r="L84" s="19">
        <v>10</v>
      </c>
      <c r="M84" s="19">
        <v>20</v>
      </c>
    </row>
    <row r="85" spans="1:13" ht="16.5" customHeight="1" x14ac:dyDescent="0.3">
      <c r="A85" s="17">
        <v>3314</v>
      </c>
      <c r="B85" s="17" t="s">
        <v>108</v>
      </c>
      <c r="C85" s="17" t="s">
        <v>18</v>
      </c>
      <c r="D85" s="18">
        <v>45431</v>
      </c>
      <c r="E85" s="17" t="s">
        <v>19</v>
      </c>
      <c r="F85" s="19">
        <v>5</v>
      </c>
      <c r="G85" s="17" t="s">
        <v>20</v>
      </c>
      <c r="H85" s="17" t="s">
        <v>19</v>
      </c>
      <c r="I85" s="19">
        <v>0</v>
      </c>
      <c r="J85" s="17" t="s">
        <v>19</v>
      </c>
      <c r="K85" s="19">
        <v>0</v>
      </c>
      <c r="L85" s="19">
        <v>0</v>
      </c>
      <c r="M85" s="19">
        <v>5</v>
      </c>
    </row>
    <row r="86" spans="1:13" ht="16.5" customHeight="1" x14ac:dyDescent="0.3">
      <c r="A86" s="17">
        <v>3315</v>
      </c>
      <c r="B86" s="17" t="s">
        <v>109</v>
      </c>
      <c r="C86" s="17" t="s">
        <v>14</v>
      </c>
      <c r="D86" s="18">
        <v>45432</v>
      </c>
      <c r="E86" s="17" t="s">
        <v>15</v>
      </c>
      <c r="F86" s="19">
        <v>15</v>
      </c>
      <c r="G86" s="17" t="s">
        <v>16</v>
      </c>
      <c r="H86" s="17" t="s">
        <v>15</v>
      </c>
      <c r="I86" s="19">
        <v>30</v>
      </c>
      <c r="J86" s="17" t="s">
        <v>15</v>
      </c>
      <c r="K86" s="19">
        <v>20</v>
      </c>
      <c r="L86" s="19">
        <v>20</v>
      </c>
      <c r="M86" s="19">
        <v>45</v>
      </c>
    </row>
    <row r="87" spans="1:13" ht="16.5" customHeight="1" x14ac:dyDescent="0.3">
      <c r="A87" s="17">
        <v>3316</v>
      </c>
      <c r="B87" s="17" t="s">
        <v>110</v>
      </c>
      <c r="C87" s="17" t="s">
        <v>22</v>
      </c>
      <c r="D87" s="18">
        <v>45433</v>
      </c>
      <c r="E87" s="17" t="s">
        <v>19</v>
      </c>
      <c r="F87" s="19">
        <v>10</v>
      </c>
      <c r="G87" s="17" t="s">
        <v>23</v>
      </c>
      <c r="H87" s="17" t="s">
        <v>19</v>
      </c>
      <c r="I87" s="19">
        <v>0</v>
      </c>
      <c r="J87" s="17" t="s">
        <v>15</v>
      </c>
      <c r="K87" s="19">
        <v>20</v>
      </c>
      <c r="L87" s="19">
        <v>15</v>
      </c>
      <c r="M87" s="19">
        <v>15</v>
      </c>
    </row>
    <row r="88" spans="1:13" ht="16.5" customHeight="1" x14ac:dyDescent="0.3">
      <c r="A88" s="17">
        <v>3317</v>
      </c>
      <c r="B88" s="17" t="s">
        <v>111</v>
      </c>
      <c r="C88" s="17" t="s">
        <v>18</v>
      </c>
      <c r="D88" s="18">
        <v>45434</v>
      </c>
      <c r="E88" s="17" t="s">
        <v>15</v>
      </c>
      <c r="F88" s="19">
        <v>5</v>
      </c>
      <c r="G88" s="17" t="s">
        <v>16</v>
      </c>
      <c r="H88" s="17" t="s">
        <v>19</v>
      </c>
      <c r="I88" s="19">
        <v>0</v>
      </c>
      <c r="J88" s="17" t="s">
        <v>19</v>
      </c>
      <c r="K88" s="19">
        <v>0</v>
      </c>
      <c r="L88" s="19">
        <v>1</v>
      </c>
      <c r="M88" s="19">
        <v>4</v>
      </c>
    </row>
    <row r="89" spans="1:13" ht="16.5" customHeight="1" x14ac:dyDescent="0.3">
      <c r="A89" s="17">
        <v>3318</v>
      </c>
      <c r="B89" s="17" t="s">
        <v>112</v>
      </c>
      <c r="C89" s="17" t="s">
        <v>14</v>
      </c>
      <c r="D89" s="18">
        <v>45435</v>
      </c>
      <c r="E89" s="17" t="s">
        <v>19</v>
      </c>
      <c r="F89" s="19">
        <v>15</v>
      </c>
      <c r="G89" s="17" t="s">
        <v>20</v>
      </c>
      <c r="H89" s="17" t="s">
        <v>15</v>
      </c>
      <c r="I89" s="19">
        <v>30</v>
      </c>
      <c r="J89" s="17" t="s">
        <v>15</v>
      </c>
      <c r="K89" s="19">
        <v>20</v>
      </c>
      <c r="L89" s="19">
        <v>3</v>
      </c>
      <c r="M89" s="19">
        <v>62</v>
      </c>
    </row>
    <row r="90" spans="1:13" ht="16.5" customHeight="1" x14ac:dyDescent="0.3">
      <c r="A90" s="17">
        <v>3319</v>
      </c>
      <c r="B90" s="17" t="s">
        <v>113</v>
      </c>
      <c r="C90" s="17" t="s">
        <v>22</v>
      </c>
      <c r="D90" s="18">
        <v>45436</v>
      </c>
      <c r="E90" s="17" t="s">
        <v>15</v>
      </c>
      <c r="F90" s="19">
        <v>10</v>
      </c>
      <c r="G90" s="17" t="s">
        <v>16</v>
      </c>
      <c r="H90" s="17" t="s">
        <v>19</v>
      </c>
      <c r="I90" s="19">
        <v>0</v>
      </c>
      <c r="J90" s="17" t="s">
        <v>15</v>
      </c>
      <c r="K90" s="19">
        <v>20</v>
      </c>
      <c r="L90" s="19">
        <v>10</v>
      </c>
      <c r="M90" s="19">
        <v>20</v>
      </c>
    </row>
    <row r="91" spans="1:13" ht="16.5" customHeight="1" x14ac:dyDescent="0.3">
      <c r="A91" s="17">
        <v>3320</v>
      </c>
      <c r="B91" s="17" t="s">
        <v>114</v>
      </c>
      <c r="C91" s="17" t="s">
        <v>18</v>
      </c>
      <c r="D91" s="18">
        <v>45437</v>
      </c>
      <c r="E91" s="17" t="s">
        <v>19</v>
      </c>
      <c r="F91" s="19">
        <v>5</v>
      </c>
      <c r="G91" s="17" t="s">
        <v>23</v>
      </c>
      <c r="H91" s="17" t="s">
        <v>19</v>
      </c>
      <c r="I91" s="19">
        <v>0</v>
      </c>
      <c r="J91" s="17" t="s">
        <v>19</v>
      </c>
      <c r="K91" s="19">
        <v>0</v>
      </c>
      <c r="L91" s="19">
        <v>0</v>
      </c>
      <c r="M91" s="19">
        <v>5</v>
      </c>
    </row>
    <row r="92" spans="1:13" ht="16.5" customHeight="1" x14ac:dyDescent="0.3">
      <c r="A92" s="17">
        <v>3321</v>
      </c>
      <c r="B92" s="17" t="s">
        <v>115</v>
      </c>
      <c r="C92" s="17" t="s">
        <v>14</v>
      </c>
      <c r="D92" s="18">
        <v>45438</v>
      </c>
      <c r="E92" s="17" t="s">
        <v>15</v>
      </c>
      <c r="F92" s="19">
        <v>15</v>
      </c>
      <c r="G92" s="17" t="s">
        <v>16</v>
      </c>
      <c r="H92" s="17" t="s">
        <v>15</v>
      </c>
      <c r="I92" s="19">
        <v>30</v>
      </c>
      <c r="J92" s="17" t="s">
        <v>15</v>
      </c>
      <c r="K92" s="19">
        <v>20</v>
      </c>
      <c r="L92" s="19">
        <v>5</v>
      </c>
      <c r="M92" s="19">
        <v>60</v>
      </c>
    </row>
    <row r="93" spans="1:13" ht="16.5" customHeight="1" x14ac:dyDescent="0.3">
      <c r="A93" s="17">
        <v>3322</v>
      </c>
      <c r="B93" s="17" t="s">
        <v>116</v>
      </c>
      <c r="C93" s="17" t="s">
        <v>22</v>
      </c>
      <c r="D93" s="18">
        <v>45439</v>
      </c>
      <c r="E93" s="17" t="s">
        <v>19</v>
      </c>
      <c r="F93" s="19">
        <v>10</v>
      </c>
      <c r="G93" s="17" t="s">
        <v>20</v>
      </c>
      <c r="H93" s="17" t="s">
        <v>19</v>
      </c>
      <c r="I93" s="19">
        <v>0</v>
      </c>
      <c r="J93" s="17" t="s">
        <v>15</v>
      </c>
      <c r="K93" s="19">
        <v>20</v>
      </c>
      <c r="L93" s="19">
        <v>15</v>
      </c>
      <c r="M93" s="19">
        <v>15</v>
      </c>
    </row>
    <row r="94" spans="1:13" ht="16.5" customHeight="1" x14ac:dyDescent="0.3">
      <c r="A94" s="17">
        <v>3323</v>
      </c>
      <c r="B94" s="17" t="s">
        <v>117</v>
      </c>
      <c r="C94" s="17" t="s">
        <v>18</v>
      </c>
      <c r="D94" s="18">
        <v>45440</v>
      </c>
      <c r="E94" s="17" t="s">
        <v>15</v>
      </c>
      <c r="F94" s="19">
        <v>5</v>
      </c>
      <c r="G94" s="17" t="s">
        <v>16</v>
      </c>
      <c r="H94" s="17" t="s">
        <v>19</v>
      </c>
      <c r="I94" s="19">
        <v>0</v>
      </c>
      <c r="J94" s="17" t="s">
        <v>19</v>
      </c>
      <c r="K94" s="19">
        <v>0</v>
      </c>
      <c r="L94" s="19">
        <v>1</v>
      </c>
      <c r="M94" s="19">
        <v>4</v>
      </c>
    </row>
    <row r="95" spans="1:13" ht="16.5" customHeight="1" x14ac:dyDescent="0.3">
      <c r="A95" s="17">
        <v>3324</v>
      </c>
      <c r="B95" s="17" t="s">
        <v>118</v>
      </c>
      <c r="C95" s="17" t="s">
        <v>14</v>
      </c>
      <c r="D95" s="18">
        <v>45441</v>
      </c>
      <c r="E95" s="17" t="s">
        <v>19</v>
      </c>
      <c r="F95" s="19">
        <v>15</v>
      </c>
      <c r="G95" s="17" t="s">
        <v>23</v>
      </c>
      <c r="H95" s="17" t="s">
        <v>15</v>
      </c>
      <c r="I95" s="19">
        <v>30</v>
      </c>
      <c r="J95" s="17" t="s">
        <v>15</v>
      </c>
      <c r="K95" s="19">
        <v>20</v>
      </c>
      <c r="L95" s="19">
        <v>20</v>
      </c>
      <c r="M95" s="19">
        <v>45</v>
      </c>
    </row>
    <row r="96" spans="1:13" ht="16.5" customHeight="1" x14ac:dyDescent="0.3">
      <c r="A96" s="17">
        <v>3325</v>
      </c>
      <c r="B96" s="17" t="s">
        <v>119</v>
      </c>
      <c r="C96" s="17" t="s">
        <v>22</v>
      </c>
      <c r="D96" s="18">
        <v>45442</v>
      </c>
      <c r="E96" s="17" t="s">
        <v>15</v>
      </c>
      <c r="F96" s="19">
        <v>10</v>
      </c>
      <c r="G96" s="17" t="s">
        <v>23</v>
      </c>
      <c r="H96" s="17" t="s">
        <v>19</v>
      </c>
      <c r="I96" s="19">
        <v>0</v>
      </c>
      <c r="J96" s="17" t="s">
        <v>15</v>
      </c>
      <c r="K96" s="19">
        <v>20</v>
      </c>
      <c r="L96" s="19">
        <v>15</v>
      </c>
      <c r="M96" s="19">
        <v>15</v>
      </c>
    </row>
    <row r="97" spans="1:13" ht="16.5" customHeight="1" x14ac:dyDescent="0.3">
      <c r="A97" s="17">
        <v>3326</v>
      </c>
      <c r="B97" s="17" t="s">
        <v>120</v>
      </c>
      <c r="C97" s="17" t="s">
        <v>18</v>
      </c>
      <c r="D97" s="18">
        <v>45443</v>
      </c>
      <c r="E97" s="17" t="s">
        <v>19</v>
      </c>
      <c r="F97" s="19">
        <v>5</v>
      </c>
      <c r="G97" s="17" t="s">
        <v>20</v>
      </c>
      <c r="H97" s="17" t="s">
        <v>19</v>
      </c>
      <c r="I97" s="19">
        <v>0</v>
      </c>
      <c r="J97" s="17" t="s">
        <v>19</v>
      </c>
      <c r="K97" s="19">
        <v>0</v>
      </c>
      <c r="L97" s="19">
        <v>0</v>
      </c>
      <c r="M97" s="19">
        <v>5</v>
      </c>
    </row>
    <row r="98" spans="1:13" ht="16.5" customHeight="1" x14ac:dyDescent="0.3">
      <c r="A98" s="17">
        <v>3327</v>
      </c>
      <c r="B98" s="17" t="s">
        <v>121</v>
      </c>
      <c r="C98" s="17" t="s">
        <v>14</v>
      </c>
      <c r="D98" s="18">
        <v>45444</v>
      </c>
      <c r="E98" s="17" t="s">
        <v>15</v>
      </c>
      <c r="F98" s="19">
        <v>15</v>
      </c>
      <c r="G98" s="17" t="s">
        <v>16</v>
      </c>
      <c r="H98" s="17" t="s">
        <v>15</v>
      </c>
      <c r="I98" s="19">
        <v>30</v>
      </c>
      <c r="J98" s="17" t="s">
        <v>15</v>
      </c>
      <c r="K98" s="19">
        <v>20</v>
      </c>
      <c r="L98" s="19">
        <v>7</v>
      </c>
      <c r="M98" s="19">
        <v>58</v>
      </c>
    </row>
    <row r="99" spans="1:13" ht="16.5" customHeight="1" x14ac:dyDescent="0.3">
      <c r="A99" s="17">
        <v>3328</v>
      </c>
      <c r="B99" s="17" t="s">
        <v>122</v>
      </c>
      <c r="C99" s="17" t="s">
        <v>22</v>
      </c>
      <c r="D99" s="18">
        <v>45445</v>
      </c>
      <c r="E99" s="17" t="s">
        <v>19</v>
      </c>
      <c r="F99" s="19">
        <v>10</v>
      </c>
      <c r="G99" s="17" t="s">
        <v>20</v>
      </c>
      <c r="H99" s="17" t="s">
        <v>19</v>
      </c>
      <c r="I99" s="19">
        <v>0</v>
      </c>
      <c r="J99" s="17" t="s">
        <v>15</v>
      </c>
      <c r="K99" s="19">
        <v>20</v>
      </c>
      <c r="L99" s="19">
        <v>10</v>
      </c>
      <c r="M99" s="19">
        <v>20</v>
      </c>
    </row>
    <row r="100" spans="1:13" ht="16.5" customHeight="1" x14ac:dyDescent="0.3">
      <c r="A100" s="17">
        <v>3329</v>
      </c>
      <c r="B100" s="17" t="s">
        <v>123</v>
      </c>
      <c r="C100" s="17" t="s">
        <v>18</v>
      </c>
      <c r="D100" s="18">
        <v>45446</v>
      </c>
      <c r="E100" s="17" t="s">
        <v>15</v>
      </c>
      <c r="F100" s="19">
        <v>5</v>
      </c>
      <c r="G100" s="17" t="s">
        <v>23</v>
      </c>
      <c r="H100" s="17" t="s">
        <v>19</v>
      </c>
      <c r="I100" s="19">
        <v>0</v>
      </c>
      <c r="J100" s="17" t="s">
        <v>19</v>
      </c>
      <c r="K100" s="19">
        <v>0</v>
      </c>
      <c r="L100" s="19">
        <v>1</v>
      </c>
      <c r="M100" s="19">
        <v>4</v>
      </c>
    </row>
    <row r="101" spans="1:13" ht="16.5" customHeight="1" x14ac:dyDescent="0.3">
      <c r="A101" s="17">
        <v>3330</v>
      </c>
      <c r="B101" s="17" t="s">
        <v>124</v>
      </c>
      <c r="C101" s="17" t="s">
        <v>14</v>
      </c>
      <c r="D101" s="18">
        <v>45447</v>
      </c>
      <c r="E101" s="17" t="s">
        <v>19</v>
      </c>
      <c r="F101" s="19">
        <v>15</v>
      </c>
      <c r="G101" s="17" t="s">
        <v>16</v>
      </c>
      <c r="H101" s="17" t="s">
        <v>15</v>
      </c>
      <c r="I101" s="19">
        <v>30</v>
      </c>
      <c r="J101" s="17" t="s">
        <v>15</v>
      </c>
      <c r="K101" s="19">
        <v>20</v>
      </c>
      <c r="L101" s="19">
        <v>15</v>
      </c>
      <c r="M101" s="19">
        <v>50</v>
      </c>
    </row>
    <row r="102" spans="1:13" ht="16.5" customHeight="1" x14ac:dyDescent="0.3">
      <c r="A102" s="17">
        <v>3331</v>
      </c>
      <c r="B102" s="17" t="s">
        <v>125</v>
      </c>
      <c r="C102" s="17" t="s">
        <v>22</v>
      </c>
      <c r="D102" s="18">
        <v>45448</v>
      </c>
      <c r="E102" s="17" t="s">
        <v>15</v>
      </c>
      <c r="F102" s="19">
        <v>10</v>
      </c>
      <c r="G102" s="17" t="s">
        <v>16</v>
      </c>
      <c r="H102" s="17" t="s">
        <v>19</v>
      </c>
      <c r="I102" s="19">
        <v>0</v>
      </c>
      <c r="J102" s="17" t="s">
        <v>15</v>
      </c>
      <c r="K102" s="19">
        <v>20</v>
      </c>
      <c r="L102" s="19">
        <v>5</v>
      </c>
      <c r="M102" s="19">
        <v>25</v>
      </c>
    </row>
    <row r="103" spans="1:13" ht="16.5" customHeight="1" x14ac:dyDescent="0.3">
      <c r="A103" s="17">
        <v>3332</v>
      </c>
      <c r="B103" s="17" t="s">
        <v>126</v>
      </c>
      <c r="C103" s="17" t="s">
        <v>18</v>
      </c>
      <c r="D103" s="18">
        <v>45449</v>
      </c>
      <c r="E103" s="17" t="s">
        <v>19</v>
      </c>
      <c r="F103" s="19">
        <v>5</v>
      </c>
      <c r="G103" s="17" t="s">
        <v>20</v>
      </c>
      <c r="H103" s="17" t="s">
        <v>19</v>
      </c>
      <c r="I103" s="19">
        <v>0</v>
      </c>
      <c r="J103" s="17" t="s">
        <v>19</v>
      </c>
      <c r="K103" s="19">
        <v>0</v>
      </c>
      <c r="L103" s="19">
        <v>0</v>
      </c>
      <c r="M103" s="19">
        <v>5</v>
      </c>
    </row>
    <row r="104" spans="1:13" ht="16.5" customHeight="1" x14ac:dyDescent="0.3">
      <c r="A104" s="17">
        <v>3333</v>
      </c>
      <c r="B104" s="17" t="s">
        <v>127</v>
      </c>
      <c r="C104" s="17" t="s">
        <v>14</v>
      </c>
      <c r="D104" s="18">
        <v>45450</v>
      </c>
      <c r="E104" s="17" t="s">
        <v>15</v>
      </c>
      <c r="F104" s="19">
        <v>15</v>
      </c>
      <c r="G104" s="17" t="s">
        <v>23</v>
      </c>
      <c r="H104" s="17" t="s">
        <v>15</v>
      </c>
      <c r="I104" s="19">
        <v>30</v>
      </c>
      <c r="J104" s="17" t="s">
        <v>15</v>
      </c>
      <c r="K104" s="19">
        <v>20</v>
      </c>
      <c r="L104" s="19">
        <v>20</v>
      </c>
      <c r="M104" s="19">
        <v>45</v>
      </c>
    </row>
    <row r="105" spans="1:13" ht="16.5" customHeight="1" x14ac:dyDescent="0.3">
      <c r="A105" s="17">
        <v>3334</v>
      </c>
      <c r="B105" s="17" t="s">
        <v>128</v>
      </c>
      <c r="C105" s="17" t="s">
        <v>22</v>
      </c>
      <c r="D105" s="18">
        <v>45451</v>
      </c>
      <c r="E105" s="17" t="s">
        <v>19</v>
      </c>
      <c r="F105" s="19">
        <v>10</v>
      </c>
      <c r="G105" s="17" t="s">
        <v>23</v>
      </c>
      <c r="H105" s="17" t="s">
        <v>19</v>
      </c>
      <c r="I105" s="19">
        <v>0</v>
      </c>
      <c r="J105" s="17" t="s">
        <v>15</v>
      </c>
      <c r="K105" s="19">
        <v>20</v>
      </c>
      <c r="L105" s="19">
        <v>12</v>
      </c>
      <c r="M105" s="19">
        <v>18</v>
      </c>
    </row>
    <row r="106" spans="1:13" ht="16.5" customHeight="1" x14ac:dyDescent="0.3">
      <c r="A106" s="17">
        <v>3335</v>
      </c>
      <c r="B106" s="17" t="s">
        <v>129</v>
      </c>
      <c r="C106" s="17" t="s">
        <v>18</v>
      </c>
      <c r="D106" s="18">
        <v>45452</v>
      </c>
      <c r="E106" s="17" t="s">
        <v>15</v>
      </c>
      <c r="F106" s="19">
        <v>5</v>
      </c>
      <c r="G106" s="17" t="s">
        <v>16</v>
      </c>
      <c r="H106" s="17" t="s">
        <v>19</v>
      </c>
      <c r="I106" s="19">
        <v>0</v>
      </c>
      <c r="J106" s="17" t="s">
        <v>19</v>
      </c>
      <c r="K106" s="19">
        <v>0</v>
      </c>
      <c r="L106" s="19">
        <v>2</v>
      </c>
      <c r="M106" s="19">
        <v>3</v>
      </c>
    </row>
    <row r="107" spans="1:13" ht="16.5" customHeight="1" x14ac:dyDescent="0.3">
      <c r="A107" s="17">
        <v>3336</v>
      </c>
      <c r="B107" s="17" t="s">
        <v>130</v>
      </c>
      <c r="C107" s="17" t="s">
        <v>18</v>
      </c>
      <c r="D107" s="18">
        <v>45453</v>
      </c>
      <c r="E107" s="17" t="s">
        <v>15</v>
      </c>
      <c r="F107" s="19">
        <v>5</v>
      </c>
      <c r="G107" s="17" t="s">
        <v>16</v>
      </c>
      <c r="H107" s="17" t="s">
        <v>19</v>
      </c>
      <c r="I107" s="19">
        <v>0</v>
      </c>
      <c r="J107" s="17" t="s">
        <v>19</v>
      </c>
      <c r="K107" s="19">
        <v>0</v>
      </c>
      <c r="L107" s="19">
        <v>0</v>
      </c>
      <c r="M107" s="19">
        <v>5</v>
      </c>
    </row>
    <row r="108" spans="1:13" ht="16.5" customHeight="1" x14ac:dyDescent="0.3">
      <c r="A108" s="17">
        <v>3337</v>
      </c>
      <c r="B108" s="17" t="s">
        <v>131</v>
      </c>
      <c r="C108" s="17" t="s">
        <v>14</v>
      </c>
      <c r="D108" s="18">
        <v>45454</v>
      </c>
      <c r="E108" s="17" t="s">
        <v>19</v>
      </c>
      <c r="F108" s="19">
        <v>15</v>
      </c>
      <c r="G108" s="17" t="s">
        <v>23</v>
      </c>
      <c r="H108" s="17" t="s">
        <v>15</v>
      </c>
      <c r="I108" s="19">
        <v>30</v>
      </c>
      <c r="J108" s="17" t="s">
        <v>15</v>
      </c>
      <c r="K108" s="19">
        <v>20</v>
      </c>
      <c r="L108" s="19">
        <v>7</v>
      </c>
      <c r="M108" s="19">
        <v>58</v>
      </c>
    </row>
    <row r="109" spans="1:13" ht="16.5" customHeight="1" x14ac:dyDescent="0.3">
      <c r="A109" s="17">
        <v>3338</v>
      </c>
      <c r="B109" s="17" t="s">
        <v>132</v>
      </c>
      <c r="C109" s="17" t="s">
        <v>22</v>
      </c>
      <c r="D109" s="18">
        <v>45455</v>
      </c>
      <c r="E109" s="17" t="s">
        <v>15</v>
      </c>
      <c r="F109" s="19">
        <v>10</v>
      </c>
      <c r="G109" s="17" t="s">
        <v>20</v>
      </c>
      <c r="H109" s="17" t="s">
        <v>19</v>
      </c>
      <c r="I109" s="19">
        <v>0</v>
      </c>
      <c r="J109" s="17" t="s">
        <v>15</v>
      </c>
      <c r="K109" s="19">
        <v>20</v>
      </c>
      <c r="L109" s="19">
        <v>10</v>
      </c>
      <c r="M109" s="19">
        <v>20</v>
      </c>
    </row>
    <row r="110" spans="1:13" ht="16.5" customHeight="1" x14ac:dyDescent="0.3">
      <c r="A110" s="17">
        <v>3339</v>
      </c>
      <c r="B110" s="17" t="s">
        <v>133</v>
      </c>
      <c r="C110" s="17" t="s">
        <v>18</v>
      </c>
      <c r="D110" s="18">
        <v>45456</v>
      </c>
      <c r="E110" s="17" t="s">
        <v>19</v>
      </c>
      <c r="F110" s="19">
        <v>5</v>
      </c>
      <c r="G110" s="17" t="s">
        <v>23</v>
      </c>
      <c r="H110" s="17" t="s">
        <v>19</v>
      </c>
      <c r="I110" s="19">
        <v>0</v>
      </c>
      <c r="J110" s="17" t="s">
        <v>19</v>
      </c>
      <c r="K110" s="19">
        <v>0</v>
      </c>
      <c r="L110" s="19">
        <v>1</v>
      </c>
      <c r="M110" s="19">
        <v>4</v>
      </c>
    </row>
    <row r="111" spans="1:13" ht="16.5" customHeight="1" x14ac:dyDescent="0.3">
      <c r="A111" s="17">
        <v>3340</v>
      </c>
      <c r="B111" s="17" t="s">
        <v>134</v>
      </c>
      <c r="C111" s="17" t="s">
        <v>14</v>
      </c>
      <c r="D111" s="18">
        <v>45457</v>
      </c>
      <c r="E111" s="17" t="s">
        <v>15</v>
      </c>
      <c r="F111" s="19">
        <v>15</v>
      </c>
      <c r="G111" s="17" t="s">
        <v>16</v>
      </c>
      <c r="H111" s="17" t="s">
        <v>15</v>
      </c>
      <c r="I111" s="19">
        <v>30</v>
      </c>
      <c r="J111" s="17" t="s">
        <v>15</v>
      </c>
      <c r="K111" s="19">
        <v>20</v>
      </c>
      <c r="L111" s="19">
        <v>15</v>
      </c>
      <c r="M111" s="19">
        <v>50</v>
      </c>
    </row>
    <row r="112" spans="1:13" ht="16.5" customHeight="1" x14ac:dyDescent="0.3">
      <c r="A112" s="17">
        <v>3341</v>
      </c>
      <c r="B112" s="17" t="s">
        <v>135</v>
      </c>
      <c r="C112" s="17" t="s">
        <v>22</v>
      </c>
      <c r="D112" s="18">
        <v>45458</v>
      </c>
      <c r="E112" s="17" t="s">
        <v>19</v>
      </c>
      <c r="F112" s="19">
        <v>10</v>
      </c>
      <c r="G112" s="17" t="s">
        <v>16</v>
      </c>
      <c r="H112" s="17" t="s">
        <v>19</v>
      </c>
      <c r="I112" s="19">
        <v>0</v>
      </c>
      <c r="J112" s="17" t="s">
        <v>15</v>
      </c>
      <c r="K112" s="19">
        <v>20</v>
      </c>
      <c r="L112" s="19">
        <v>5</v>
      </c>
      <c r="M112" s="19">
        <v>25</v>
      </c>
    </row>
    <row r="113" spans="1:13" ht="16.5" customHeight="1" x14ac:dyDescent="0.3">
      <c r="A113" s="17">
        <v>3342</v>
      </c>
      <c r="B113" s="17" t="s">
        <v>136</v>
      </c>
      <c r="C113" s="17" t="s">
        <v>18</v>
      </c>
      <c r="D113" s="18">
        <v>45459</v>
      </c>
      <c r="E113" s="17" t="s">
        <v>15</v>
      </c>
      <c r="F113" s="19">
        <v>5</v>
      </c>
      <c r="G113" s="17" t="s">
        <v>20</v>
      </c>
      <c r="H113" s="17" t="s">
        <v>19</v>
      </c>
      <c r="I113" s="19">
        <v>0</v>
      </c>
      <c r="J113" s="17" t="s">
        <v>19</v>
      </c>
      <c r="K113" s="19">
        <v>0</v>
      </c>
      <c r="L113" s="19">
        <v>0</v>
      </c>
      <c r="M113" s="19">
        <v>5</v>
      </c>
    </row>
    <row r="114" spans="1:13" ht="16.5" customHeight="1" x14ac:dyDescent="0.3">
      <c r="A114" s="17">
        <v>3343</v>
      </c>
      <c r="B114" s="17" t="s">
        <v>137</v>
      </c>
      <c r="C114" s="17" t="s">
        <v>14</v>
      </c>
      <c r="D114" s="18">
        <v>45460</v>
      </c>
      <c r="E114" s="17" t="s">
        <v>19</v>
      </c>
      <c r="F114" s="19">
        <v>15</v>
      </c>
      <c r="G114" s="17" t="s">
        <v>23</v>
      </c>
      <c r="H114" s="17" t="s">
        <v>15</v>
      </c>
      <c r="I114" s="19">
        <v>30</v>
      </c>
      <c r="J114" s="17" t="s">
        <v>15</v>
      </c>
      <c r="K114" s="19">
        <v>20</v>
      </c>
      <c r="L114" s="19">
        <v>20</v>
      </c>
      <c r="M114" s="19">
        <v>45</v>
      </c>
    </row>
    <row r="115" spans="1:13" ht="16.5" customHeight="1" x14ac:dyDescent="0.3">
      <c r="A115" s="17">
        <v>3344</v>
      </c>
      <c r="B115" s="17" t="s">
        <v>138</v>
      </c>
      <c r="C115" s="17" t="s">
        <v>22</v>
      </c>
      <c r="D115" s="18">
        <v>45461</v>
      </c>
      <c r="E115" s="17" t="s">
        <v>15</v>
      </c>
      <c r="F115" s="19">
        <v>10</v>
      </c>
      <c r="G115" s="17" t="s">
        <v>23</v>
      </c>
      <c r="H115" s="17" t="s">
        <v>19</v>
      </c>
      <c r="I115" s="19">
        <v>0</v>
      </c>
      <c r="J115" s="17" t="s">
        <v>15</v>
      </c>
      <c r="K115" s="19">
        <v>20</v>
      </c>
      <c r="L115" s="19">
        <v>12</v>
      </c>
      <c r="M115" s="19">
        <v>18</v>
      </c>
    </row>
    <row r="116" spans="1:13" ht="16.5" customHeight="1" x14ac:dyDescent="0.3">
      <c r="A116" s="17">
        <v>3345</v>
      </c>
      <c r="B116" s="17" t="s">
        <v>139</v>
      </c>
      <c r="C116" s="17" t="s">
        <v>18</v>
      </c>
      <c r="D116" s="18">
        <v>45462</v>
      </c>
      <c r="E116" s="17" t="s">
        <v>19</v>
      </c>
      <c r="F116" s="19">
        <v>5</v>
      </c>
      <c r="G116" s="17" t="s">
        <v>16</v>
      </c>
      <c r="H116" s="17" t="s">
        <v>19</v>
      </c>
      <c r="I116" s="19">
        <v>0</v>
      </c>
      <c r="J116" s="17" t="s">
        <v>19</v>
      </c>
      <c r="K116" s="19">
        <v>0</v>
      </c>
      <c r="L116" s="19">
        <v>2</v>
      </c>
      <c r="M116" s="19">
        <v>3</v>
      </c>
    </row>
    <row r="117" spans="1:13" ht="16.5" customHeight="1" x14ac:dyDescent="0.3">
      <c r="A117" s="17">
        <v>3346</v>
      </c>
      <c r="B117" s="17" t="s">
        <v>140</v>
      </c>
      <c r="C117" s="17" t="s">
        <v>14</v>
      </c>
      <c r="D117" s="18">
        <v>45463</v>
      </c>
      <c r="E117" s="17" t="s">
        <v>15</v>
      </c>
      <c r="F117" s="19">
        <v>15</v>
      </c>
      <c r="G117" s="17" t="s">
        <v>20</v>
      </c>
      <c r="H117" s="17" t="s">
        <v>15</v>
      </c>
      <c r="I117" s="19">
        <v>30</v>
      </c>
      <c r="J117" s="17" t="s">
        <v>15</v>
      </c>
      <c r="K117" s="19">
        <v>20</v>
      </c>
      <c r="L117" s="19">
        <v>5</v>
      </c>
      <c r="M117" s="19">
        <v>60</v>
      </c>
    </row>
    <row r="118" spans="1:13" ht="16.5" customHeight="1" x14ac:dyDescent="0.3">
      <c r="A118" s="17">
        <v>3347</v>
      </c>
      <c r="B118" s="17" t="s">
        <v>141</v>
      </c>
      <c r="C118" s="17" t="s">
        <v>22</v>
      </c>
      <c r="D118" s="18">
        <v>45464</v>
      </c>
      <c r="E118" s="17" t="s">
        <v>19</v>
      </c>
      <c r="F118" s="19">
        <v>10</v>
      </c>
      <c r="G118" s="17" t="s">
        <v>16</v>
      </c>
      <c r="H118" s="17" t="s">
        <v>19</v>
      </c>
      <c r="I118" s="19">
        <v>0</v>
      </c>
      <c r="J118" s="17" t="s">
        <v>15</v>
      </c>
      <c r="K118" s="19">
        <v>20</v>
      </c>
      <c r="L118" s="19">
        <v>10</v>
      </c>
      <c r="M118" s="19">
        <v>20</v>
      </c>
    </row>
    <row r="119" spans="1:13" ht="16.5" customHeight="1" x14ac:dyDescent="0.3">
      <c r="A119" s="17">
        <v>3348</v>
      </c>
      <c r="B119" s="17" t="s">
        <v>142</v>
      </c>
      <c r="C119" s="17" t="s">
        <v>18</v>
      </c>
      <c r="D119" s="18">
        <v>45465</v>
      </c>
      <c r="E119" s="17" t="s">
        <v>15</v>
      </c>
      <c r="F119" s="19">
        <v>5</v>
      </c>
      <c r="G119" s="17" t="s">
        <v>23</v>
      </c>
      <c r="H119" s="17" t="s">
        <v>19</v>
      </c>
      <c r="I119" s="19">
        <v>0</v>
      </c>
      <c r="J119" s="17" t="s">
        <v>19</v>
      </c>
      <c r="K119" s="19">
        <v>0</v>
      </c>
      <c r="L119" s="19">
        <v>0</v>
      </c>
      <c r="M119" s="19">
        <v>5</v>
      </c>
    </row>
    <row r="120" spans="1:13" ht="16.5" customHeight="1" x14ac:dyDescent="0.3">
      <c r="A120" s="17">
        <v>3349</v>
      </c>
      <c r="B120" s="17" t="s">
        <v>118</v>
      </c>
      <c r="C120" s="17" t="s">
        <v>14</v>
      </c>
      <c r="D120" s="18">
        <v>45466</v>
      </c>
      <c r="E120" s="17" t="s">
        <v>19</v>
      </c>
      <c r="F120" s="19">
        <v>15</v>
      </c>
      <c r="G120" s="17" t="s">
        <v>16</v>
      </c>
      <c r="H120" s="17" t="s">
        <v>15</v>
      </c>
      <c r="I120" s="19">
        <v>30</v>
      </c>
      <c r="J120" s="17" t="s">
        <v>15</v>
      </c>
      <c r="K120" s="19">
        <v>20</v>
      </c>
      <c r="L120" s="19">
        <v>3</v>
      </c>
      <c r="M120" s="19">
        <v>62</v>
      </c>
    </row>
    <row r="121" spans="1:13" ht="16.5" customHeight="1" x14ac:dyDescent="0.3">
      <c r="A121" s="17">
        <v>3350</v>
      </c>
      <c r="B121" s="17" t="s">
        <v>143</v>
      </c>
      <c r="C121" s="17" t="s">
        <v>22</v>
      </c>
      <c r="D121" s="18">
        <v>45467</v>
      </c>
      <c r="E121" s="17" t="s">
        <v>15</v>
      </c>
      <c r="F121" s="19">
        <v>10</v>
      </c>
      <c r="G121" s="17" t="s">
        <v>20</v>
      </c>
      <c r="H121" s="17" t="s">
        <v>19</v>
      </c>
      <c r="I121" s="19">
        <v>0</v>
      </c>
      <c r="J121" s="17" t="s">
        <v>15</v>
      </c>
      <c r="K121" s="19">
        <v>20</v>
      </c>
      <c r="L121" s="19">
        <v>15</v>
      </c>
      <c r="M121" s="19">
        <v>15</v>
      </c>
    </row>
    <row r="122" spans="1:13" ht="16.5" customHeight="1" x14ac:dyDescent="0.3">
      <c r="A122" s="17">
        <v>3351</v>
      </c>
      <c r="B122" s="17" t="s">
        <v>144</v>
      </c>
      <c r="C122" s="17" t="s">
        <v>18</v>
      </c>
      <c r="D122" s="18">
        <v>45468</v>
      </c>
      <c r="E122" s="17" t="s">
        <v>19</v>
      </c>
      <c r="F122" s="19">
        <v>5</v>
      </c>
      <c r="G122" s="17" t="s">
        <v>16</v>
      </c>
      <c r="H122" s="17" t="s">
        <v>19</v>
      </c>
      <c r="I122" s="19">
        <v>0</v>
      </c>
      <c r="J122" s="17" t="s">
        <v>19</v>
      </c>
      <c r="K122" s="19">
        <v>0</v>
      </c>
      <c r="L122" s="19">
        <v>1</v>
      </c>
      <c r="M122" s="19">
        <v>4</v>
      </c>
    </row>
    <row r="123" spans="1:13" ht="16.5" customHeight="1" x14ac:dyDescent="0.3">
      <c r="A123" s="17">
        <v>3352</v>
      </c>
      <c r="B123" s="17" t="s">
        <v>145</v>
      </c>
      <c r="C123" s="17" t="s">
        <v>14</v>
      </c>
      <c r="D123" s="18">
        <v>45469</v>
      </c>
      <c r="E123" s="17" t="s">
        <v>15</v>
      </c>
      <c r="F123" s="19">
        <v>15</v>
      </c>
      <c r="G123" s="17" t="s">
        <v>23</v>
      </c>
      <c r="H123" s="17" t="s">
        <v>15</v>
      </c>
      <c r="I123" s="19">
        <v>30</v>
      </c>
      <c r="J123" s="17" t="s">
        <v>15</v>
      </c>
      <c r="K123" s="19">
        <v>20</v>
      </c>
      <c r="L123" s="19">
        <v>7</v>
      </c>
      <c r="M123" s="19">
        <v>58</v>
      </c>
    </row>
    <row r="124" spans="1:13" ht="16.5" customHeight="1" x14ac:dyDescent="0.3">
      <c r="A124" s="17">
        <v>3353</v>
      </c>
      <c r="B124" s="17" t="s">
        <v>146</v>
      </c>
      <c r="C124" s="17" t="s">
        <v>22</v>
      </c>
      <c r="D124" s="18">
        <v>45470</v>
      </c>
      <c r="E124" s="17" t="s">
        <v>19</v>
      </c>
      <c r="F124" s="19">
        <v>10</v>
      </c>
      <c r="G124" s="17" t="s">
        <v>16</v>
      </c>
      <c r="H124" s="17" t="s">
        <v>19</v>
      </c>
      <c r="I124" s="19">
        <v>0</v>
      </c>
      <c r="J124" s="17" t="s">
        <v>15</v>
      </c>
      <c r="K124" s="19">
        <v>20</v>
      </c>
      <c r="L124" s="19">
        <v>10</v>
      </c>
      <c r="M124" s="19">
        <v>20</v>
      </c>
    </row>
    <row r="125" spans="1:13" ht="16.5" customHeight="1" x14ac:dyDescent="0.3">
      <c r="A125" s="17">
        <v>3354</v>
      </c>
      <c r="B125" s="17" t="s">
        <v>147</v>
      </c>
      <c r="C125" s="17" t="s">
        <v>18</v>
      </c>
      <c r="D125" s="18">
        <v>45471</v>
      </c>
      <c r="E125" s="17" t="s">
        <v>15</v>
      </c>
      <c r="F125" s="19">
        <v>5</v>
      </c>
      <c r="G125" s="17" t="s">
        <v>20</v>
      </c>
      <c r="H125" s="17" t="s">
        <v>19</v>
      </c>
      <c r="I125" s="19">
        <v>0</v>
      </c>
      <c r="J125" s="17" t="s">
        <v>19</v>
      </c>
      <c r="K125" s="19">
        <v>0</v>
      </c>
      <c r="L125" s="19">
        <v>0</v>
      </c>
      <c r="M125" s="19">
        <v>5</v>
      </c>
    </row>
    <row r="126" spans="1:13" ht="16.5" customHeight="1" x14ac:dyDescent="0.3">
      <c r="A126" s="17">
        <v>3355</v>
      </c>
      <c r="B126" s="17" t="s">
        <v>148</v>
      </c>
      <c r="C126" s="17" t="s">
        <v>14</v>
      </c>
      <c r="D126" s="18">
        <v>45472</v>
      </c>
      <c r="E126" s="17" t="s">
        <v>19</v>
      </c>
      <c r="F126" s="19">
        <v>15</v>
      </c>
      <c r="G126" s="17" t="s">
        <v>16</v>
      </c>
      <c r="H126" s="17" t="s">
        <v>15</v>
      </c>
      <c r="I126" s="19">
        <v>30</v>
      </c>
      <c r="J126" s="17" t="s">
        <v>15</v>
      </c>
      <c r="K126" s="19">
        <v>20</v>
      </c>
      <c r="L126" s="19">
        <v>20</v>
      </c>
      <c r="M126" s="19">
        <v>45</v>
      </c>
    </row>
    <row r="127" spans="1:13" ht="16.5" customHeight="1" x14ac:dyDescent="0.3">
      <c r="A127" s="17">
        <v>3356</v>
      </c>
      <c r="B127" s="17" t="s">
        <v>149</v>
      </c>
      <c r="C127" s="17" t="s">
        <v>22</v>
      </c>
      <c r="D127" s="18">
        <v>45473</v>
      </c>
      <c r="E127" s="17" t="s">
        <v>15</v>
      </c>
      <c r="F127" s="19">
        <v>10</v>
      </c>
      <c r="G127" s="17" t="s">
        <v>23</v>
      </c>
      <c r="H127" s="17" t="s">
        <v>19</v>
      </c>
      <c r="I127" s="19">
        <v>0</v>
      </c>
      <c r="J127" s="17" t="s">
        <v>15</v>
      </c>
      <c r="K127" s="19">
        <v>20</v>
      </c>
      <c r="L127" s="19">
        <v>15</v>
      </c>
      <c r="M127" s="19">
        <v>15</v>
      </c>
    </row>
    <row r="128" spans="1:13" ht="16.5" customHeight="1" x14ac:dyDescent="0.3">
      <c r="A128" s="17">
        <v>3357</v>
      </c>
      <c r="B128" s="17" t="s">
        <v>150</v>
      </c>
      <c r="C128" s="17" t="s">
        <v>18</v>
      </c>
      <c r="D128" s="18">
        <v>45474</v>
      </c>
      <c r="E128" s="17" t="s">
        <v>19</v>
      </c>
      <c r="F128" s="19">
        <v>5</v>
      </c>
      <c r="G128" s="17" t="s">
        <v>16</v>
      </c>
      <c r="H128" s="17" t="s">
        <v>19</v>
      </c>
      <c r="I128" s="19">
        <v>0</v>
      </c>
      <c r="J128" s="17" t="s">
        <v>19</v>
      </c>
      <c r="K128" s="19">
        <v>0</v>
      </c>
      <c r="L128" s="19">
        <v>1</v>
      </c>
      <c r="M128" s="19">
        <v>4</v>
      </c>
    </row>
    <row r="129" spans="1:13" ht="16.5" customHeight="1" x14ac:dyDescent="0.3">
      <c r="A129" s="17">
        <v>3358</v>
      </c>
      <c r="B129" s="17" t="s">
        <v>151</v>
      </c>
      <c r="C129" s="17" t="s">
        <v>14</v>
      </c>
      <c r="D129" s="18">
        <v>45475</v>
      </c>
      <c r="E129" s="17" t="s">
        <v>15</v>
      </c>
      <c r="F129" s="19">
        <v>15</v>
      </c>
      <c r="G129" s="17" t="s">
        <v>20</v>
      </c>
      <c r="H129" s="17" t="s">
        <v>15</v>
      </c>
      <c r="I129" s="19">
        <v>30</v>
      </c>
      <c r="J129" s="17" t="s">
        <v>15</v>
      </c>
      <c r="K129" s="19">
        <v>20</v>
      </c>
      <c r="L129" s="19">
        <v>3</v>
      </c>
      <c r="M129" s="19">
        <v>62</v>
      </c>
    </row>
    <row r="130" spans="1:13" ht="16.5" customHeight="1" x14ac:dyDescent="0.3">
      <c r="A130" s="17">
        <v>3359</v>
      </c>
      <c r="B130" s="17" t="s">
        <v>152</v>
      </c>
      <c r="C130" s="17" t="s">
        <v>22</v>
      </c>
      <c r="D130" s="18">
        <v>45476</v>
      </c>
      <c r="E130" s="17" t="s">
        <v>19</v>
      </c>
      <c r="F130" s="19">
        <v>10</v>
      </c>
      <c r="G130" s="17" t="s">
        <v>16</v>
      </c>
      <c r="H130" s="17" t="s">
        <v>19</v>
      </c>
      <c r="I130" s="19">
        <v>0</v>
      </c>
      <c r="J130" s="17" t="s">
        <v>15</v>
      </c>
      <c r="K130" s="19">
        <v>20</v>
      </c>
      <c r="L130" s="19">
        <v>10</v>
      </c>
      <c r="M130" s="19">
        <v>20</v>
      </c>
    </row>
    <row r="131" spans="1:13" ht="16.5" customHeight="1" x14ac:dyDescent="0.3">
      <c r="A131" s="17">
        <v>3360</v>
      </c>
      <c r="B131" s="17" t="s">
        <v>153</v>
      </c>
      <c r="C131" s="17" t="s">
        <v>18</v>
      </c>
      <c r="D131" s="18">
        <v>45477</v>
      </c>
      <c r="E131" s="17" t="s">
        <v>15</v>
      </c>
      <c r="F131" s="19">
        <v>5</v>
      </c>
      <c r="G131" s="17" t="s">
        <v>23</v>
      </c>
      <c r="H131" s="17" t="s">
        <v>19</v>
      </c>
      <c r="I131" s="19">
        <v>0</v>
      </c>
      <c r="J131" s="17" t="s">
        <v>19</v>
      </c>
      <c r="K131" s="19">
        <v>0</v>
      </c>
      <c r="L131" s="19">
        <v>0</v>
      </c>
      <c r="M131" s="19">
        <v>5</v>
      </c>
    </row>
    <row r="132" spans="1:13" ht="16.5" customHeight="1" x14ac:dyDescent="0.3">
      <c r="A132" s="17">
        <v>3361</v>
      </c>
      <c r="B132" s="17" t="s">
        <v>154</v>
      </c>
      <c r="C132" s="17" t="s">
        <v>14</v>
      </c>
      <c r="D132" s="18">
        <v>45478</v>
      </c>
      <c r="E132" s="17" t="s">
        <v>19</v>
      </c>
      <c r="F132" s="19">
        <v>15</v>
      </c>
      <c r="G132" s="17" t="s">
        <v>16</v>
      </c>
      <c r="H132" s="17" t="s">
        <v>15</v>
      </c>
      <c r="I132" s="19">
        <v>30</v>
      </c>
      <c r="J132" s="17" t="s">
        <v>15</v>
      </c>
      <c r="K132" s="19">
        <v>20</v>
      </c>
      <c r="L132" s="19">
        <v>15</v>
      </c>
      <c r="M132" s="19">
        <v>50</v>
      </c>
    </row>
    <row r="133" spans="1:13" ht="16.5" customHeight="1" x14ac:dyDescent="0.3">
      <c r="A133" s="17">
        <v>3362</v>
      </c>
      <c r="B133" s="17" t="s">
        <v>155</v>
      </c>
      <c r="C133" s="17" t="s">
        <v>22</v>
      </c>
      <c r="D133" s="18">
        <v>45479</v>
      </c>
      <c r="E133" s="17" t="s">
        <v>15</v>
      </c>
      <c r="F133" s="19">
        <v>10</v>
      </c>
      <c r="G133" s="17" t="s">
        <v>20</v>
      </c>
      <c r="H133" s="17" t="s">
        <v>19</v>
      </c>
      <c r="I133" s="19">
        <v>0</v>
      </c>
      <c r="J133" s="17" t="s">
        <v>15</v>
      </c>
      <c r="K133" s="19">
        <v>20</v>
      </c>
      <c r="L133" s="19">
        <v>15</v>
      </c>
      <c r="M133" s="19">
        <v>15</v>
      </c>
    </row>
    <row r="134" spans="1:13" ht="16.5" customHeight="1" x14ac:dyDescent="0.3">
      <c r="A134" s="17">
        <v>3363</v>
      </c>
      <c r="B134" s="17" t="s">
        <v>156</v>
      </c>
      <c r="C134" s="17" t="s">
        <v>18</v>
      </c>
      <c r="D134" s="18">
        <v>45480</v>
      </c>
      <c r="E134" s="17" t="s">
        <v>19</v>
      </c>
      <c r="F134" s="19">
        <v>5</v>
      </c>
      <c r="G134" s="17" t="s">
        <v>16</v>
      </c>
      <c r="H134" s="17" t="s">
        <v>19</v>
      </c>
      <c r="I134" s="19">
        <v>0</v>
      </c>
      <c r="J134" s="17" t="s">
        <v>19</v>
      </c>
      <c r="K134" s="19">
        <v>0</v>
      </c>
      <c r="L134" s="19">
        <v>1</v>
      </c>
      <c r="M134" s="19">
        <v>4</v>
      </c>
    </row>
    <row r="135" spans="1:13" ht="16.5" customHeight="1" x14ac:dyDescent="0.3">
      <c r="A135" s="17">
        <v>3364</v>
      </c>
      <c r="B135" s="17" t="s">
        <v>157</v>
      </c>
      <c r="C135" s="17" t="s">
        <v>14</v>
      </c>
      <c r="D135" s="18">
        <v>45481</v>
      </c>
      <c r="E135" s="17" t="s">
        <v>15</v>
      </c>
      <c r="F135" s="19">
        <v>15</v>
      </c>
      <c r="G135" s="17" t="s">
        <v>23</v>
      </c>
      <c r="H135" s="17" t="s">
        <v>15</v>
      </c>
      <c r="I135" s="19">
        <v>30</v>
      </c>
      <c r="J135" s="17" t="s">
        <v>15</v>
      </c>
      <c r="K135" s="19">
        <v>20</v>
      </c>
      <c r="L135" s="19">
        <v>7</v>
      </c>
      <c r="M135" s="19">
        <v>58</v>
      </c>
    </row>
    <row r="136" spans="1:13" ht="16.5" customHeight="1" x14ac:dyDescent="0.3">
      <c r="A136" s="17">
        <v>3365</v>
      </c>
      <c r="B136" s="17" t="s">
        <v>158</v>
      </c>
      <c r="C136" s="17" t="s">
        <v>22</v>
      </c>
      <c r="D136" s="18">
        <v>45482</v>
      </c>
      <c r="E136" s="17" t="s">
        <v>19</v>
      </c>
      <c r="F136" s="19">
        <v>10</v>
      </c>
      <c r="G136" s="17" t="s">
        <v>16</v>
      </c>
      <c r="H136" s="17" t="s">
        <v>19</v>
      </c>
      <c r="I136" s="19">
        <v>0</v>
      </c>
      <c r="J136" s="17" t="s">
        <v>15</v>
      </c>
      <c r="K136" s="19">
        <v>20</v>
      </c>
      <c r="L136" s="19">
        <v>10</v>
      </c>
      <c r="M136" s="19">
        <v>20</v>
      </c>
    </row>
    <row r="137" spans="1:13" ht="16.5" customHeight="1" x14ac:dyDescent="0.3">
      <c r="A137" s="17">
        <v>3366</v>
      </c>
      <c r="B137" s="17" t="s">
        <v>159</v>
      </c>
      <c r="C137" s="17" t="s">
        <v>18</v>
      </c>
      <c r="D137" s="18">
        <v>45483</v>
      </c>
      <c r="E137" s="17" t="s">
        <v>15</v>
      </c>
      <c r="F137" s="19">
        <v>5</v>
      </c>
      <c r="G137" s="17" t="s">
        <v>16</v>
      </c>
      <c r="H137" s="17" t="s">
        <v>19</v>
      </c>
      <c r="I137" s="19">
        <v>0</v>
      </c>
      <c r="J137" s="17" t="s">
        <v>19</v>
      </c>
      <c r="K137" s="19">
        <v>0</v>
      </c>
      <c r="L137" s="19">
        <v>0</v>
      </c>
      <c r="M137" s="19">
        <v>5</v>
      </c>
    </row>
    <row r="138" spans="1:13" ht="16.5" customHeight="1" x14ac:dyDescent="0.3">
      <c r="A138" s="17">
        <v>3367</v>
      </c>
      <c r="B138" s="17" t="s">
        <v>160</v>
      </c>
      <c r="C138" s="17" t="s">
        <v>14</v>
      </c>
      <c r="D138" s="18">
        <v>45484</v>
      </c>
      <c r="E138" s="17" t="s">
        <v>19</v>
      </c>
      <c r="F138" s="19">
        <v>15</v>
      </c>
      <c r="G138" s="17" t="s">
        <v>23</v>
      </c>
      <c r="H138" s="17" t="s">
        <v>15</v>
      </c>
      <c r="I138" s="19">
        <v>30</v>
      </c>
      <c r="J138" s="17" t="s">
        <v>15</v>
      </c>
      <c r="K138" s="19">
        <v>20</v>
      </c>
      <c r="L138" s="19">
        <v>7</v>
      </c>
      <c r="M138" s="19">
        <v>58</v>
      </c>
    </row>
    <row r="139" spans="1:13" ht="16.5" customHeight="1" x14ac:dyDescent="0.3">
      <c r="A139" s="17">
        <v>3368</v>
      </c>
      <c r="B139" s="17" t="s">
        <v>161</v>
      </c>
      <c r="C139" s="17" t="s">
        <v>22</v>
      </c>
      <c r="D139" s="18">
        <v>45485</v>
      </c>
      <c r="E139" s="17" t="s">
        <v>15</v>
      </c>
      <c r="F139" s="19">
        <v>10</v>
      </c>
      <c r="G139" s="17" t="s">
        <v>20</v>
      </c>
      <c r="H139" s="17" t="s">
        <v>19</v>
      </c>
      <c r="I139" s="19">
        <v>0</v>
      </c>
      <c r="J139" s="17" t="s">
        <v>15</v>
      </c>
      <c r="K139" s="19">
        <v>20</v>
      </c>
      <c r="L139" s="19">
        <v>10</v>
      </c>
      <c r="M139" s="19">
        <v>20</v>
      </c>
    </row>
    <row r="140" spans="1:13" ht="16.5" customHeight="1" x14ac:dyDescent="0.3">
      <c r="A140" s="17">
        <v>3369</v>
      </c>
      <c r="B140" s="17" t="s">
        <v>162</v>
      </c>
      <c r="C140" s="17" t="s">
        <v>18</v>
      </c>
      <c r="D140" s="18">
        <v>45486</v>
      </c>
      <c r="E140" s="17" t="s">
        <v>19</v>
      </c>
      <c r="F140" s="19">
        <v>5</v>
      </c>
      <c r="G140" s="17" t="s">
        <v>23</v>
      </c>
      <c r="H140" s="17" t="s">
        <v>19</v>
      </c>
      <c r="I140" s="19">
        <v>0</v>
      </c>
      <c r="J140" s="17" t="s">
        <v>19</v>
      </c>
      <c r="K140" s="19">
        <v>0</v>
      </c>
      <c r="L140" s="19">
        <v>1</v>
      </c>
      <c r="M140" s="19">
        <v>4</v>
      </c>
    </row>
    <row r="141" spans="1:13" ht="16.5" customHeight="1" x14ac:dyDescent="0.3">
      <c r="A141" s="17">
        <v>3370</v>
      </c>
      <c r="B141" s="17" t="s">
        <v>163</v>
      </c>
      <c r="C141" s="17" t="s">
        <v>14</v>
      </c>
      <c r="D141" s="18">
        <v>45487</v>
      </c>
      <c r="E141" s="17" t="s">
        <v>15</v>
      </c>
      <c r="F141" s="19">
        <v>15</v>
      </c>
      <c r="G141" s="17" t="s">
        <v>16</v>
      </c>
      <c r="H141" s="17" t="s">
        <v>15</v>
      </c>
      <c r="I141" s="19">
        <v>30</v>
      </c>
      <c r="J141" s="17" t="s">
        <v>15</v>
      </c>
      <c r="K141" s="19">
        <v>20</v>
      </c>
      <c r="L141" s="19">
        <v>15</v>
      </c>
      <c r="M141" s="19">
        <v>50</v>
      </c>
    </row>
    <row r="142" spans="1:13" ht="16.5" customHeight="1" x14ac:dyDescent="0.3">
      <c r="A142" s="17">
        <v>3371</v>
      </c>
      <c r="B142" s="17" t="s">
        <v>164</v>
      </c>
      <c r="C142" s="17" t="s">
        <v>22</v>
      </c>
      <c r="D142" s="18">
        <v>45488</v>
      </c>
      <c r="E142" s="17" t="s">
        <v>19</v>
      </c>
      <c r="F142" s="19">
        <v>10</v>
      </c>
      <c r="G142" s="17" t="s">
        <v>16</v>
      </c>
      <c r="H142" s="17" t="s">
        <v>19</v>
      </c>
      <c r="I142" s="19">
        <v>0</v>
      </c>
      <c r="J142" s="17" t="s">
        <v>15</v>
      </c>
      <c r="K142" s="19">
        <v>20</v>
      </c>
      <c r="L142" s="19">
        <v>5</v>
      </c>
      <c r="M142" s="19">
        <v>25</v>
      </c>
    </row>
    <row r="143" spans="1:13" ht="16.5" customHeight="1" x14ac:dyDescent="0.3">
      <c r="A143" s="17">
        <v>3372</v>
      </c>
      <c r="B143" s="17" t="s">
        <v>165</v>
      </c>
      <c r="C143" s="17" t="s">
        <v>18</v>
      </c>
      <c r="D143" s="18">
        <v>45489</v>
      </c>
      <c r="E143" s="17" t="s">
        <v>15</v>
      </c>
      <c r="F143" s="19">
        <v>5</v>
      </c>
      <c r="G143" s="17" t="s">
        <v>20</v>
      </c>
      <c r="H143" s="17" t="s">
        <v>19</v>
      </c>
      <c r="I143" s="19">
        <v>0</v>
      </c>
      <c r="J143" s="17" t="s">
        <v>19</v>
      </c>
      <c r="K143" s="19">
        <v>0</v>
      </c>
      <c r="L143" s="19">
        <v>0</v>
      </c>
      <c r="M143" s="19">
        <v>5</v>
      </c>
    </row>
    <row r="144" spans="1:13" ht="16.5" customHeight="1" x14ac:dyDescent="0.3">
      <c r="A144" s="17">
        <v>3373</v>
      </c>
      <c r="B144" s="17" t="s">
        <v>166</v>
      </c>
      <c r="C144" s="17" t="s">
        <v>14</v>
      </c>
      <c r="D144" s="18">
        <v>45490</v>
      </c>
      <c r="E144" s="17" t="s">
        <v>19</v>
      </c>
      <c r="F144" s="19">
        <v>15</v>
      </c>
      <c r="G144" s="17" t="s">
        <v>23</v>
      </c>
      <c r="H144" s="17" t="s">
        <v>15</v>
      </c>
      <c r="I144" s="19">
        <v>30</v>
      </c>
      <c r="J144" s="17" t="s">
        <v>15</v>
      </c>
      <c r="K144" s="19">
        <v>20</v>
      </c>
      <c r="L144" s="19">
        <v>20</v>
      </c>
      <c r="M144" s="19">
        <v>45</v>
      </c>
    </row>
    <row r="145" spans="1:13" ht="16.5" customHeight="1" x14ac:dyDescent="0.3">
      <c r="A145" s="17">
        <v>3374</v>
      </c>
      <c r="B145" s="17" t="s">
        <v>167</v>
      </c>
      <c r="C145" s="17" t="s">
        <v>22</v>
      </c>
      <c r="D145" s="18">
        <v>45491</v>
      </c>
      <c r="E145" s="17" t="s">
        <v>15</v>
      </c>
      <c r="F145" s="19">
        <v>10</v>
      </c>
      <c r="G145" s="17" t="s">
        <v>23</v>
      </c>
      <c r="H145" s="17" t="s">
        <v>19</v>
      </c>
      <c r="I145" s="19">
        <v>0</v>
      </c>
      <c r="J145" s="17" t="s">
        <v>15</v>
      </c>
      <c r="K145" s="19">
        <v>20</v>
      </c>
      <c r="L145" s="19">
        <v>12</v>
      </c>
      <c r="M145" s="19">
        <v>18</v>
      </c>
    </row>
    <row r="146" spans="1:13" ht="16.5" customHeight="1" x14ac:dyDescent="0.3">
      <c r="A146" s="17">
        <v>3375</v>
      </c>
      <c r="B146" s="17" t="s">
        <v>168</v>
      </c>
      <c r="C146" s="17" t="s">
        <v>18</v>
      </c>
      <c r="D146" s="18">
        <v>45492</v>
      </c>
      <c r="E146" s="17" t="s">
        <v>19</v>
      </c>
      <c r="F146" s="19">
        <v>5</v>
      </c>
      <c r="G146" s="17" t="s">
        <v>16</v>
      </c>
      <c r="H146" s="17" t="s">
        <v>19</v>
      </c>
      <c r="I146" s="19">
        <v>0</v>
      </c>
      <c r="J146" s="17" t="s">
        <v>19</v>
      </c>
      <c r="K146" s="19">
        <v>0</v>
      </c>
      <c r="L146" s="19">
        <v>2</v>
      </c>
      <c r="M146" s="19">
        <v>3</v>
      </c>
    </row>
    <row r="147" spans="1:13" ht="16.5" customHeight="1" x14ac:dyDescent="0.3">
      <c r="A147" s="17">
        <v>3376</v>
      </c>
      <c r="B147" s="17" t="s">
        <v>169</v>
      </c>
      <c r="C147" s="17" t="s">
        <v>14</v>
      </c>
      <c r="D147" s="18">
        <v>45493</v>
      </c>
      <c r="E147" s="17" t="s">
        <v>15</v>
      </c>
      <c r="F147" s="19">
        <v>15</v>
      </c>
      <c r="G147" s="17" t="s">
        <v>20</v>
      </c>
      <c r="H147" s="17" t="s">
        <v>15</v>
      </c>
      <c r="I147" s="19">
        <v>30</v>
      </c>
      <c r="J147" s="17" t="s">
        <v>15</v>
      </c>
      <c r="K147" s="19">
        <v>20</v>
      </c>
      <c r="L147" s="19">
        <v>5</v>
      </c>
      <c r="M147" s="19">
        <v>60</v>
      </c>
    </row>
    <row r="148" spans="1:13" ht="16.5" customHeight="1" x14ac:dyDescent="0.3">
      <c r="A148" s="17">
        <v>3377</v>
      </c>
      <c r="B148" s="17" t="s">
        <v>170</v>
      </c>
      <c r="C148" s="17" t="s">
        <v>22</v>
      </c>
      <c r="D148" s="18">
        <v>45494</v>
      </c>
      <c r="E148" s="17" t="s">
        <v>19</v>
      </c>
      <c r="F148" s="19">
        <v>10</v>
      </c>
      <c r="G148" s="17" t="s">
        <v>16</v>
      </c>
      <c r="H148" s="17" t="s">
        <v>19</v>
      </c>
      <c r="I148" s="19">
        <v>0</v>
      </c>
      <c r="J148" s="17" t="s">
        <v>15</v>
      </c>
      <c r="K148" s="19">
        <v>20</v>
      </c>
      <c r="L148" s="19">
        <v>10</v>
      </c>
      <c r="M148" s="19">
        <v>20</v>
      </c>
    </row>
    <row r="149" spans="1:13" ht="16.5" customHeight="1" x14ac:dyDescent="0.3">
      <c r="A149" s="17">
        <v>3378</v>
      </c>
      <c r="B149" s="17" t="s">
        <v>171</v>
      </c>
      <c r="C149" s="17" t="s">
        <v>18</v>
      </c>
      <c r="D149" s="18">
        <v>45495</v>
      </c>
      <c r="E149" s="17" t="s">
        <v>15</v>
      </c>
      <c r="F149" s="19">
        <v>5</v>
      </c>
      <c r="G149" s="17" t="s">
        <v>23</v>
      </c>
      <c r="H149" s="17" t="s">
        <v>19</v>
      </c>
      <c r="I149" s="19">
        <v>0</v>
      </c>
      <c r="J149" s="17" t="s">
        <v>19</v>
      </c>
      <c r="K149" s="19">
        <v>0</v>
      </c>
      <c r="L149" s="19">
        <v>0</v>
      </c>
      <c r="M149" s="19">
        <v>5</v>
      </c>
    </row>
    <row r="150" spans="1:13" ht="16.5" customHeight="1" x14ac:dyDescent="0.3">
      <c r="A150" s="17">
        <v>3379</v>
      </c>
      <c r="B150" s="17" t="s">
        <v>172</v>
      </c>
      <c r="C150" s="17" t="s">
        <v>14</v>
      </c>
      <c r="D150" s="18">
        <v>45496</v>
      </c>
      <c r="E150" s="17" t="s">
        <v>19</v>
      </c>
      <c r="F150" s="19">
        <v>15</v>
      </c>
      <c r="G150" s="17" t="s">
        <v>16</v>
      </c>
      <c r="H150" s="17" t="s">
        <v>15</v>
      </c>
      <c r="I150" s="19">
        <v>30</v>
      </c>
      <c r="J150" s="17" t="s">
        <v>15</v>
      </c>
      <c r="K150" s="19">
        <v>20</v>
      </c>
      <c r="L150" s="19">
        <v>3</v>
      </c>
      <c r="M150" s="19">
        <v>62</v>
      </c>
    </row>
    <row r="151" spans="1:13" ht="16.5" customHeight="1" x14ac:dyDescent="0.3">
      <c r="A151" s="17">
        <v>3380</v>
      </c>
      <c r="B151" s="17" t="s">
        <v>173</v>
      </c>
      <c r="C151" s="17" t="s">
        <v>22</v>
      </c>
      <c r="D151" s="18">
        <v>45497</v>
      </c>
      <c r="E151" s="17" t="s">
        <v>15</v>
      </c>
      <c r="F151" s="19">
        <v>10</v>
      </c>
      <c r="G151" s="17" t="s">
        <v>20</v>
      </c>
      <c r="H151" s="17" t="s">
        <v>19</v>
      </c>
      <c r="I151" s="19">
        <v>0</v>
      </c>
      <c r="J151" s="17" t="s">
        <v>15</v>
      </c>
      <c r="K151" s="19">
        <v>20</v>
      </c>
      <c r="L151" s="19">
        <v>15</v>
      </c>
      <c r="M151" s="19">
        <v>15</v>
      </c>
    </row>
    <row r="152" spans="1:13" ht="16.5" customHeight="1" x14ac:dyDescent="0.3">
      <c r="A152" s="17">
        <v>3381</v>
      </c>
      <c r="B152" s="17" t="s">
        <v>174</v>
      </c>
      <c r="C152" s="17" t="s">
        <v>18</v>
      </c>
      <c r="D152" s="18">
        <v>45498</v>
      </c>
      <c r="E152" s="17" t="s">
        <v>19</v>
      </c>
      <c r="F152" s="19">
        <v>5</v>
      </c>
      <c r="G152" s="17" t="s">
        <v>16</v>
      </c>
      <c r="H152" s="17" t="s">
        <v>19</v>
      </c>
      <c r="I152" s="19">
        <v>0</v>
      </c>
      <c r="J152" s="17" t="s">
        <v>19</v>
      </c>
      <c r="K152" s="19">
        <v>0</v>
      </c>
      <c r="L152" s="19">
        <v>1</v>
      </c>
      <c r="M152" s="19">
        <v>4</v>
      </c>
    </row>
    <row r="153" spans="1:13" ht="16.5" customHeight="1" x14ac:dyDescent="0.3">
      <c r="A153" s="17">
        <v>3382</v>
      </c>
      <c r="B153" s="17" t="s">
        <v>175</v>
      </c>
      <c r="C153" s="17" t="s">
        <v>14</v>
      </c>
      <c r="D153" s="18">
        <v>45499</v>
      </c>
      <c r="E153" s="17" t="s">
        <v>15</v>
      </c>
      <c r="F153" s="19">
        <v>15</v>
      </c>
      <c r="G153" s="17" t="s">
        <v>23</v>
      </c>
      <c r="H153" s="17" t="s">
        <v>15</v>
      </c>
      <c r="I153" s="19">
        <v>30</v>
      </c>
      <c r="J153" s="17" t="s">
        <v>15</v>
      </c>
      <c r="K153" s="19">
        <v>20</v>
      </c>
      <c r="L153" s="19">
        <v>7</v>
      </c>
      <c r="M153" s="19">
        <v>58</v>
      </c>
    </row>
    <row r="154" spans="1:13" ht="16.5" customHeight="1" x14ac:dyDescent="0.3">
      <c r="A154" s="17">
        <v>3383</v>
      </c>
      <c r="B154" s="17" t="s">
        <v>176</v>
      </c>
      <c r="C154" s="17" t="s">
        <v>22</v>
      </c>
      <c r="D154" s="18">
        <v>45500</v>
      </c>
      <c r="E154" s="17" t="s">
        <v>19</v>
      </c>
      <c r="F154" s="19">
        <v>10</v>
      </c>
      <c r="G154" s="17" t="s">
        <v>16</v>
      </c>
      <c r="H154" s="17" t="s">
        <v>19</v>
      </c>
      <c r="I154" s="19">
        <v>0</v>
      </c>
      <c r="J154" s="17" t="s">
        <v>15</v>
      </c>
      <c r="K154" s="19">
        <v>20</v>
      </c>
      <c r="L154" s="19">
        <v>10</v>
      </c>
      <c r="M154" s="19">
        <v>20</v>
      </c>
    </row>
    <row r="155" spans="1:13" ht="16.5" customHeight="1" x14ac:dyDescent="0.3">
      <c r="A155" s="17">
        <v>3384</v>
      </c>
      <c r="B155" s="17" t="s">
        <v>177</v>
      </c>
      <c r="C155" s="17" t="s">
        <v>18</v>
      </c>
      <c r="D155" s="18">
        <v>45501</v>
      </c>
      <c r="E155" s="17" t="s">
        <v>15</v>
      </c>
      <c r="F155" s="19">
        <v>5</v>
      </c>
      <c r="G155" s="17" t="s">
        <v>20</v>
      </c>
      <c r="H155" s="17" t="s">
        <v>19</v>
      </c>
      <c r="I155" s="19">
        <v>0</v>
      </c>
      <c r="J155" s="17" t="s">
        <v>19</v>
      </c>
      <c r="K155" s="19">
        <v>0</v>
      </c>
      <c r="L155" s="19">
        <v>0</v>
      </c>
      <c r="M155" s="19">
        <v>5</v>
      </c>
    </row>
    <row r="156" spans="1:13" ht="16.5" customHeight="1" x14ac:dyDescent="0.3">
      <c r="A156" s="17">
        <v>3385</v>
      </c>
      <c r="B156" s="17" t="s">
        <v>178</v>
      </c>
      <c r="C156" s="17" t="s">
        <v>14</v>
      </c>
      <c r="D156" s="18">
        <v>45502</v>
      </c>
      <c r="E156" s="17" t="s">
        <v>19</v>
      </c>
      <c r="F156" s="19">
        <v>15</v>
      </c>
      <c r="G156" s="17" t="s">
        <v>16</v>
      </c>
      <c r="H156" s="17" t="s">
        <v>15</v>
      </c>
      <c r="I156" s="19">
        <v>30</v>
      </c>
      <c r="J156" s="17" t="s">
        <v>15</v>
      </c>
      <c r="K156" s="19">
        <v>20</v>
      </c>
      <c r="L156" s="19">
        <v>20</v>
      </c>
      <c r="M156" s="19">
        <v>45</v>
      </c>
    </row>
    <row r="157" spans="1:13" ht="16.5" customHeight="1" x14ac:dyDescent="0.3">
      <c r="A157" s="17">
        <v>3386</v>
      </c>
      <c r="B157" s="17" t="s">
        <v>179</v>
      </c>
      <c r="C157" s="17" t="s">
        <v>22</v>
      </c>
      <c r="D157" s="18">
        <v>45503</v>
      </c>
      <c r="E157" s="17" t="s">
        <v>15</v>
      </c>
      <c r="F157" s="19">
        <v>10</v>
      </c>
      <c r="G157" s="17" t="s">
        <v>23</v>
      </c>
      <c r="H157" s="17" t="s">
        <v>19</v>
      </c>
      <c r="I157" s="19">
        <v>0</v>
      </c>
      <c r="J157" s="17" t="s">
        <v>15</v>
      </c>
      <c r="K157" s="19">
        <v>20</v>
      </c>
      <c r="L157" s="19">
        <v>15</v>
      </c>
      <c r="M157" s="19">
        <v>15</v>
      </c>
    </row>
    <row r="158" spans="1:13" ht="16.5" customHeight="1" x14ac:dyDescent="0.3">
      <c r="A158" s="17">
        <v>3387</v>
      </c>
      <c r="B158" s="17" t="s">
        <v>180</v>
      </c>
      <c r="C158" s="17" t="s">
        <v>18</v>
      </c>
      <c r="D158" s="18">
        <v>45504</v>
      </c>
      <c r="E158" s="17" t="s">
        <v>19</v>
      </c>
      <c r="F158" s="19">
        <v>5</v>
      </c>
      <c r="G158" s="17" t="s">
        <v>16</v>
      </c>
      <c r="H158" s="17" t="s">
        <v>19</v>
      </c>
      <c r="I158" s="19">
        <v>0</v>
      </c>
      <c r="J158" s="17" t="s">
        <v>19</v>
      </c>
      <c r="K158" s="19">
        <v>0</v>
      </c>
      <c r="L158" s="19">
        <v>1</v>
      </c>
      <c r="M158" s="19">
        <v>4</v>
      </c>
    </row>
    <row r="159" spans="1:13" ht="16.5" customHeight="1" x14ac:dyDescent="0.3">
      <c r="A159" s="17">
        <v>3388</v>
      </c>
      <c r="B159" s="17" t="s">
        <v>181</v>
      </c>
      <c r="C159" s="17" t="s">
        <v>14</v>
      </c>
      <c r="D159" s="18">
        <v>45505</v>
      </c>
      <c r="E159" s="17" t="s">
        <v>15</v>
      </c>
      <c r="F159" s="19">
        <v>15</v>
      </c>
      <c r="G159" s="17" t="s">
        <v>20</v>
      </c>
      <c r="H159" s="17" t="s">
        <v>15</v>
      </c>
      <c r="I159" s="19">
        <v>30</v>
      </c>
      <c r="J159" s="17" t="s">
        <v>15</v>
      </c>
      <c r="K159" s="19">
        <v>20</v>
      </c>
      <c r="L159" s="19">
        <v>3</v>
      </c>
      <c r="M159" s="19">
        <v>62</v>
      </c>
    </row>
    <row r="160" spans="1:13" ht="16.5" customHeight="1" x14ac:dyDescent="0.3">
      <c r="A160" s="17">
        <v>3389</v>
      </c>
      <c r="B160" s="17" t="s">
        <v>182</v>
      </c>
      <c r="C160" s="17" t="s">
        <v>22</v>
      </c>
      <c r="D160" s="18">
        <v>45506</v>
      </c>
      <c r="E160" s="17" t="s">
        <v>19</v>
      </c>
      <c r="F160" s="19">
        <v>10</v>
      </c>
      <c r="G160" s="17" t="s">
        <v>16</v>
      </c>
      <c r="H160" s="17" t="s">
        <v>19</v>
      </c>
      <c r="I160" s="19">
        <v>0</v>
      </c>
      <c r="J160" s="17" t="s">
        <v>15</v>
      </c>
      <c r="K160" s="19">
        <v>20</v>
      </c>
      <c r="L160" s="19">
        <v>10</v>
      </c>
      <c r="M160" s="19">
        <v>20</v>
      </c>
    </row>
    <row r="161" spans="1:13" ht="16.5" customHeight="1" x14ac:dyDescent="0.3">
      <c r="A161" s="17">
        <v>3390</v>
      </c>
      <c r="B161" s="17" t="s">
        <v>183</v>
      </c>
      <c r="C161" s="17" t="s">
        <v>18</v>
      </c>
      <c r="D161" s="18">
        <v>45507</v>
      </c>
      <c r="E161" s="17" t="s">
        <v>15</v>
      </c>
      <c r="F161" s="19">
        <v>5</v>
      </c>
      <c r="G161" s="17" t="s">
        <v>23</v>
      </c>
      <c r="H161" s="17" t="s">
        <v>19</v>
      </c>
      <c r="I161" s="19">
        <v>0</v>
      </c>
      <c r="J161" s="17" t="s">
        <v>19</v>
      </c>
      <c r="K161" s="19">
        <v>0</v>
      </c>
      <c r="L161" s="19">
        <v>0</v>
      </c>
      <c r="M161" s="19">
        <v>5</v>
      </c>
    </row>
    <row r="162" spans="1:13" ht="16.5" customHeight="1" x14ac:dyDescent="0.3">
      <c r="A162" s="17">
        <v>3391</v>
      </c>
      <c r="B162" s="17" t="s">
        <v>83</v>
      </c>
      <c r="C162" s="17" t="s">
        <v>14</v>
      </c>
      <c r="D162" s="18">
        <v>45508</v>
      </c>
      <c r="E162" s="17" t="s">
        <v>19</v>
      </c>
      <c r="F162" s="19">
        <v>15</v>
      </c>
      <c r="G162" s="17" t="s">
        <v>16</v>
      </c>
      <c r="H162" s="17" t="s">
        <v>15</v>
      </c>
      <c r="I162" s="19">
        <v>30</v>
      </c>
      <c r="J162" s="17" t="s">
        <v>15</v>
      </c>
      <c r="K162" s="19">
        <v>20</v>
      </c>
      <c r="L162" s="19">
        <v>15</v>
      </c>
      <c r="M162" s="19">
        <v>50</v>
      </c>
    </row>
    <row r="163" spans="1:13" ht="16.5" customHeight="1" x14ac:dyDescent="0.3">
      <c r="A163" s="17">
        <v>3392</v>
      </c>
      <c r="B163" s="17" t="s">
        <v>184</v>
      </c>
      <c r="C163" s="17" t="s">
        <v>22</v>
      </c>
      <c r="D163" s="18">
        <v>45509</v>
      </c>
      <c r="E163" s="17" t="s">
        <v>15</v>
      </c>
      <c r="F163" s="19">
        <v>10</v>
      </c>
      <c r="G163" s="17" t="s">
        <v>20</v>
      </c>
      <c r="H163" s="17" t="s">
        <v>19</v>
      </c>
      <c r="I163" s="19">
        <v>0</v>
      </c>
      <c r="J163" s="17" t="s">
        <v>15</v>
      </c>
      <c r="K163" s="19">
        <v>20</v>
      </c>
      <c r="L163" s="19">
        <v>15</v>
      </c>
      <c r="M163" s="19">
        <v>15</v>
      </c>
    </row>
    <row r="164" spans="1:13" ht="16.5" customHeight="1" x14ac:dyDescent="0.3">
      <c r="A164" s="17">
        <v>3393</v>
      </c>
      <c r="B164" s="17" t="s">
        <v>185</v>
      </c>
      <c r="C164" s="17" t="s">
        <v>18</v>
      </c>
      <c r="D164" s="18">
        <v>45510</v>
      </c>
      <c r="E164" s="17" t="s">
        <v>19</v>
      </c>
      <c r="F164" s="19">
        <v>5</v>
      </c>
      <c r="G164" s="17" t="s">
        <v>16</v>
      </c>
      <c r="H164" s="17" t="s">
        <v>19</v>
      </c>
      <c r="I164" s="19">
        <v>0</v>
      </c>
      <c r="J164" s="17" t="s">
        <v>19</v>
      </c>
      <c r="K164" s="19">
        <v>0</v>
      </c>
      <c r="L164" s="19">
        <v>1</v>
      </c>
      <c r="M164" s="19">
        <v>4</v>
      </c>
    </row>
    <row r="165" spans="1:13" ht="16.5" customHeight="1" x14ac:dyDescent="0.3">
      <c r="A165" s="17">
        <v>3394</v>
      </c>
      <c r="B165" s="17" t="s">
        <v>186</v>
      </c>
      <c r="C165" s="17" t="s">
        <v>14</v>
      </c>
      <c r="D165" s="18">
        <v>45511</v>
      </c>
      <c r="E165" s="17" t="s">
        <v>15</v>
      </c>
      <c r="F165" s="19">
        <v>15</v>
      </c>
      <c r="G165" s="17" t="s">
        <v>23</v>
      </c>
      <c r="H165" s="17" t="s">
        <v>15</v>
      </c>
      <c r="I165" s="19">
        <v>30</v>
      </c>
      <c r="J165" s="17" t="s">
        <v>15</v>
      </c>
      <c r="K165" s="19">
        <v>20</v>
      </c>
      <c r="L165" s="19">
        <v>7</v>
      </c>
      <c r="M165" s="19">
        <v>58</v>
      </c>
    </row>
    <row r="166" spans="1:13" ht="16.5" customHeight="1" x14ac:dyDescent="0.3">
      <c r="A166" s="17">
        <v>3395</v>
      </c>
      <c r="B166" s="17" t="s">
        <v>187</v>
      </c>
      <c r="C166" s="17" t="s">
        <v>22</v>
      </c>
      <c r="D166" s="18">
        <v>45512</v>
      </c>
      <c r="E166" s="17" t="s">
        <v>19</v>
      </c>
      <c r="F166" s="19">
        <v>10</v>
      </c>
      <c r="G166" s="17" t="s">
        <v>16</v>
      </c>
      <c r="H166" s="17" t="s">
        <v>19</v>
      </c>
      <c r="I166" s="19">
        <v>0</v>
      </c>
      <c r="J166" s="17" t="s">
        <v>15</v>
      </c>
      <c r="K166" s="19">
        <v>20</v>
      </c>
      <c r="L166" s="19">
        <v>10</v>
      </c>
      <c r="M166" s="19">
        <v>20</v>
      </c>
    </row>
    <row r="167" spans="1:13" ht="16.5" customHeight="1" x14ac:dyDescent="0.3">
      <c r="A167" s="17">
        <v>3396</v>
      </c>
      <c r="B167" s="17" t="s">
        <v>188</v>
      </c>
      <c r="C167" s="17" t="s">
        <v>18</v>
      </c>
      <c r="D167" s="18">
        <v>45513</v>
      </c>
      <c r="E167" s="17" t="s">
        <v>15</v>
      </c>
      <c r="F167" s="19">
        <v>5</v>
      </c>
      <c r="G167" s="17" t="s">
        <v>20</v>
      </c>
      <c r="H167" s="17" t="s">
        <v>19</v>
      </c>
      <c r="I167" s="19">
        <v>0</v>
      </c>
      <c r="J167" s="17" t="s">
        <v>19</v>
      </c>
      <c r="K167" s="19">
        <v>0</v>
      </c>
      <c r="L167" s="19">
        <v>0</v>
      </c>
      <c r="M167" s="19">
        <v>5</v>
      </c>
    </row>
    <row r="168" spans="1:13" ht="16.5" customHeight="1" x14ac:dyDescent="0.3">
      <c r="A168" s="17">
        <v>3397</v>
      </c>
      <c r="B168" s="17" t="s">
        <v>115</v>
      </c>
      <c r="C168" s="17" t="s">
        <v>14</v>
      </c>
      <c r="D168" s="18">
        <v>45514</v>
      </c>
      <c r="E168" s="17" t="s">
        <v>19</v>
      </c>
      <c r="F168" s="19">
        <v>15</v>
      </c>
      <c r="G168" s="17" t="s">
        <v>16</v>
      </c>
      <c r="H168" s="17" t="s">
        <v>15</v>
      </c>
      <c r="I168" s="19">
        <v>30</v>
      </c>
      <c r="J168" s="17" t="s">
        <v>15</v>
      </c>
      <c r="K168" s="19">
        <v>20</v>
      </c>
      <c r="L168" s="19">
        <v>20</v>
      </c>
      <c r="M168" s="19">
        <v>45</v>
      </c>
    </row>
    <row r="169" spans="1:13" ht="16.5" customHeight="1" x14ac:dyDescent="0.3">
      <c r="A169" s="17">
        <v>3398</v>
      </c>
      <c r="B169" s="17" t="s">
        <v>189</v>
      </c>
      <c r="C169" s="17" t="s">
        <v>22</v>
      </c>
      <c r="D169" s="18">
        <v>45515</v>
      </c>
      <c r="E169" s="17" t="s">
        <v>15</v>
      </c>
      <c r="F169" s="19">
        <v>10</v>
      </c>
      <c r="G169" s="17" t="s">
        <v>23</v>
      </c>
      <c r="H169" s="17" t="s">
        <v>19</v>
      </c>
      <c r="I169" s="19">
        <v>0</v>
      </c>
      <c r="J169" s="17" t="s">
        <v>15</v>
      </c>
      <c r="K169" s="19">
        <v>20</v>
      </c>
      <c r="L169" s="19">
        <v>15</v>
      </c>
      <c r="M169" s="19">
        <v>15</v>
      </c>
    </row>
    <row r="170" spans="1:13" ht="16.5" customHeight="1" x14ac:dyDescent="0.3">
      <c r="A170" s="17">
        <v>3399</v>
      </c>
      <c r="B170" s="17" t="s">
        <v>190</v>
      </c>
      <c r="C170" s="17" t="s">
        <v>18</v>
      </c>
      <c r="D170" s="18">
        <v>45516</v>
      </c>
      <c r="E170" s="17" t="s">
        <v>19</v>
      </c>
      <c r="F170" s="19">
        <v>5</v>
      </c>
      <c r="G170" s="17" t="s">
        <v>16</v>
      </c>
      <c r="H170" s="17" t="s">
        <v>19</v>
      </c>
      <c r="I170" s="19">
        <v>0</v>
      </c>
      <c r="J170" s="17" t="s">
        <v>19</v>
      </c>
      <c r="K170" s="19">
        <v>0</v>
      </c>
      <c r="L170" s="19">
        <v>1</v>
      </c>
      <c r="M170" s="19">
        <v>4</v>
      </c>
    </row>
    <row r="171" spans="1:13" ht="16.5" customHeight="1" x14ac:dyDescent="0.3">
      <c r="A171" s="17">
        <v>3400</v>
      </c>
      <c r="B171" s="17" t="s">
        <v>191</v>
      </c>
      <c r="C171" s="17" t="s">
        <v>14</v>
      </c>
      <c r="D171" s="18">
        <v>45517</v>
      </c>
      <c r="E171" s="17" t="s">
        <v>15</v>
      </c>
      <c r="F171" s="19">
        <v>15</v>
      </c>
      <c r="G171" s="17" t="s">
        <v>20</v>
      </c>
      <c r="H171" s="17" t="s">
        <v>15</v>
      </c>
      <c r="I171" s="19">
        <v>30</v>
      </c>
      <c r="J171" s="17" t="s">
        <v>15</v>
      </c>
      <c r="K171" s="19">
        <v>20</v>
      </c>
      <c r="L171" s="19">
        <v>5</v>
      </c>
      <c r="M171" s="19">
        <v>60</v>
      </c>
    </row>
    <row r="172" spans="1:13" ht="16.5" customHeight="1" x14ac:dyDescent="0.3">
      <c r="A172" s="17">
        <v>3401</v>
      </c>
      <c r="B172" s="17" t="s">
        <v>192</v>
      </c>
      <c r="C172" s="17" t="s">
        <v>22</v>
      </c>
      <c r="D172" s="18">
        <v>45518</v>
      </c>
      <c r="E172" s="17" t="s">
        <v>19</v>
      </c>
      <c r="F172" s="19">
        <v>10</v>
      </c>
      <c r="G172" s="17" t="s">
        <v>16</v>
      </c>
      <c r="H172" s="17" t="s">
        <v>19</v>
      </c>
      <c r="I172" s="19">
        <v>0</v>
      </c>
      <c r="J172" s="17" t="s">
        <v>15</v>
      </c>
      <c r="K172" s="19">
        <v>20</v>
      </c>
      <c r="L172" s="19">
        <v>10</v>
      </c>
      <c r="M172" s="19">
        <v>20</v>
      </c>
    </row>
    <row r="173" spans="1:13" ht="16.5" customHeight="1" x14ac:dyDescent="0.3">
      <c r="A173" s="17">
        <v>3402</v>
      </c>
      <c r="B173" s="17" t="s">
        <v>193</v>
      </c>
      <c r="C173" s="17" t="s">
        <v>18</v>
      </c>
      <c r="D173" s="18">
        <v>45519</v>
      </c>
      <c r="E173" s="17" t="s">
        <v>15</v>
      </c>
      <c r="F173" s="19">
        <v>5</v>
      </c>
      <c r="G173" s="17" t="s">
        <v>23</v>
      </c>
      <c r="H173" s="17" t="s">
        <v>19</v>
      </c>
      <c r="I173" s="19">
        <v>0</v>
      </c>
      <c r="J173" s="17" t="s">
        <v>19</v>
      </c>
      <c r="K173" s="19">
        <v>0</v>
      </c>
      <c r="L173" s="19">
        <v>0</v>
      </c>
      <c r="M173" s="19">
        <v>5</v>
      </c>
    </row>
    <row r="174" spans="1:13" ht="16.5" customHeight="1" x14ac:dyDescent="0.3">
      <c r="A174" s="17">
        <v>3403</v>
      </c>
      <c r="B174" s="17" t="s">
        <v>194</v>
      </c>
      <c r="C174" s="17" t="s">
        <v>14</v>
      </c>
      <c r="D174" s="18">
        <v>45520</v>
      </c>
      <c r="E174" s="17" t="s">
        <v>19</v>
      </c>
      <c r="F174" s="19">
        <v>15</v>
      </c>
      <c r="G174" s="17" t="s">
        <v>16</v>
      </c>
      <c r="H174" s="17" t="s">
        <v>15</v>
      </c>
      <c r="I174" s="19">
        <v>30</v>
      </c>
      <c r="J174" s="17" t="s">
        <v>15</v>
      </c>
      <c r="K174" s="19">
        <v>20</v>
      </c>
      <c r="L174" s="19">
        <v>3</v>
      </c>
      <c r="M174" s="19">
        <v>62</v>
      </c>
    </row>
    <row r="175" spans="1:13" ht="16.5" customHeight="1" x14ac:dyDescent="0.3">
      <c r="A175" s="17">
        <v>3404</v>
      </c>
      <c r="B175" s="17" t="s">
        <v>195</v>
      </c>
      <c r="C175" s="17" t="s">
        <v>22</v>
      </c>
      <c r="D175" s="18">
        <v>45521</v>
      </c>
      <c r="E175" s="17" t="s">
        <v>15</v>
      </c>
      <c r="F175" s="19">
        <v>10</v>
      </c>
      <c r="G175" s="17" t="s">
        <v>20</v>
      </c>
      <c r="H175" s="17" t="s">
        <v>19</v>
      </c>
      <c r="I175" s="19">
        <v>0</v>
      </c>
      <c r="J175" s="17" t="s">
        <v>15</v>
      </c>
      <c r="K175" s="19">
        <v>20</v>
      </c>
      <c r="L175" s="19">
        <v>15</v>
      </c>
      <c r="M175" s="19">
        <v>15</v>
      </c>
    </row>
    <row r="176" spans="1:13" ht="16.5" customHeight="1" x14ac:dyDescent="0.3">
      <c r="A176" s="17">
        <v>3405</v>
      </c>
      <c r="B176" s="17" t="s">
        <v>196</v>
      </c>
      <c r="C176" s="17" t="s">
        <v>18</v>
      </c>
      <c r="D176" s="18">
        <v>45522</v>
      </c>
      <c r="E176" s="17" t="s">
        <v>19</v>
      </c>
      <c r="F176" s="19">
        <v>5</v>
      </c>
      <c r="G176" s="17" t="s">
        <v>16</v>
      </c>
      <c r="H176" s="17" t="s">
        <v>19</v>
      </c>
      <c r="I176" s="19">
        <v>0</v>
      </c>
      <c r="J176" s="17" t="s">
        <v>19</v>
      </c>
      <c r="K176" s="19">
        <v>0</v>
      </c>
      <c r="L176" s="19">
        <v>1</v>
      </c>
      <c r="M176" s="19">
        <v>4</v>
      </c>
    </row>
    <row r="177" spans="1:13" ht="16.5" customHeight="1" x14ac:dyDescent="0.3">
      <c r="A177" s="17">
        <v>3406</v>
      </c>
      <c r="B177" s="17" t="s">
        <v>197</v>
      </c>
      <c r="C177" s="17" t="s">
        <v>18</v>
      </c>
      <c r="D177" s="18">
        <v>45523</v>
      </c>
      <c r="E177" s="17" t="s">
        <v>15</v>
      </c>
      <c r="F177" s="19">
        <v>5</v>
      </c>
      <c r="G177" s="17" t="s">
        <v>16</v>
      </c>
      <c r="H177" s="17" t="s">
        <v>19</v>
      </c>
      <c r="I177" s="19">
        <v>0</v>
      </c>
      <c r="J177" s="17" t="s">
        <v>19</v>
      </c>
      <c r="K177" s="19">
        <v>0</v>
      </c>
      <c r="L177" s="19">
        <v>0</v>
      </c>
      <c r="M177" s="19">
        <v>5</v>
      </c>
    </row>
    <row r="178" spans="1:13" ht="16.5" customHeight="1" x14ac:dyDescent="0.3">
      <c r="A178" s="17">
        <v>3407</v>
      </c>
      <c r="B178" s="17" t="s">
        <v>198</v>
      </c>
      <c r="C178" s="17" t="s">
        <v>14</v>
      </c>
      <c r="D178" s="18">
        <v>45524</v>
      </c>
      <c r="E178" s="17" t="s">
        <v>19</v>
      </c>
      <c r="F178" s="19">
        <v>15</v>
      </c>
      <c r="G178" s="17" t="s">
        <v>23</v>
      </c>
      <c r="H178" s="17" t="s">
        <v>15</v>
      </c>
      <c r="I178" s="19">
        <v>30</v>
      </c>
      <c r="J178" s="17" t="s">
        <v>15</v>
      </c>
      <c r="K178" s="19">
        <v>20</v>
      </c>
      <c r="L178" s="19">
        <v>7</v>
      </c>
      <c r="M178" s="19">
        <v>58</v>
      </c>
    </row>
    <row r="179" spans="1:13" ht="16.5" customHeight="1" x14ac:dyDescent="0.3">
      <c r="A179" s="17">
        <v>3408</v>
      </c>
      <c r="B179" s="17" t="s">
        <v>199</v>
      </c>
      <c r="C179" s="17" t="s">
        <v>22</v>
      </c>
      <c r="D179" s="18">
        <v>45525</v>
      </c>
      <c r="E179" s="17" t="s">
        <v>15</v>
      </c>
      <c r="F179" s="19">
        <v>10</v>
      </c>
      <c r="G179" s="17" t="s">
        <v>20</v>
      </c>
      <c r="H179" s="17" t="s">
        <v>19</v>
      </c>
      <c r="I179" s="19">
        <v>0</v>
      </c>
      <c r="J179" s="17" t="s">
        <v>15</v>
      </c>
      <c r="K179" s="19">
        <v>20</v>
      </c>
      <c r="L179" s="19">
        <v>10</v>
      </c>
      <c r="M179" s="19">
        <v>20</v>
      </c>
    </row>
    <row r="180" spans="1:13" ht="16.5" customHeight="1" x14ac:dyDescent="0.3">
      <c r="A180" s="17">
        <v>3409</v>
      </c>
      <c r="B180" s="17" t="s">
        <v>200</v>
      </c>
      <c r="C180" s="17" t="s">
        <v>18</v>
      </c>
      <c r="D180" s="18">
        <v>45526</v>
      </c>
      <c r="E180" s="17" t="s">
        <v>19</v>
      </c>
      <c r="F180" s="19">
        <v>5</v>
      </c>
      <c r="G180" s="17" t="s">
        <v>23</v>
      </c>
      <c r="H180" s="17" t="s">
        <v>19</v>
      </c>
      <c r="I180" s="19">
        <v>0</v>
      </c>
      <c r="J180" s="17" t="s">
        <v>19</v>
      </c>
      <c r="K180" s="19">
        <v>0</v>
      </c>
      <c r="L180" s="19">
        <v>1</v>
      </c>
      <c r="M180" s="19">
        <v>4</v>
      </c>
    </row>
    <row r="181" spans="1:13" ht="16.5" customHeight="1" x14ac:dyDescent="0.3">
      <c r="A181" s="17">
        <v>3410</v>
      </c>
      <c r="B181" s="17" t="s">
        <v>201</v>
      </c>
      <c r="C181" s="17" t="s">
        <v>14</v>
      </c>
      <c r="D181" s="18">
        <v>45527</v>
      </c>
      <c r="E181" s="17" t="s">
        <v>15</v>
      </c>
      <c r="F181" s="19">
        <v>15</v>
      </c>
      <c r="G181" s="17" t="s">
        <v>16</v>
      </c>
      <c r="H181" s="17" t="s">
        <v>15</v>
      </c>
      <c r="I181" s="19">
        <v>30</v>
      </c>
      <c r="J181" s="17" t="s">
        <v>15</v>
      </c>
      <c r="K181" s="19">
        <v>20</v>
      </c>
      <c r="L181" s="19">
        <v>15</v>
      </c>
      <c r="M181" s="19">
        <v>50</v>
      </c>
    </row>
    <row r="182" spans="1:13" ht="16.5" customHeight="1" x14ac:dyDescent="0.3">
      <c r="A182" s="17">
        <v>3411</v>
      </c>
      <c r="B182" s="17" t="s">
        <v>202</v>
      </c>
      <c r="C182" s="17" t="s">
        <v>22</v>
      </c>
      <c r="D182" s="18">
        <v>45528</v>
      </c>
      <c r="E182" s="17" t="s">
        <v>19</v>
      </c>
      <c r="F182" s="19">
        <v>10</v>
      </c>
      <c r="G182" s="17" t="s">
        <v>16</v>
      </c>
      <c r="H182" s="17" t="s">
        <v>19</v>
      </c>
      <c r="I182" s="19">
        <v>0</v>
      </c>
      <c r="J182" s="17" t="s">
        <v>15</v>
      </c>
      <c r="K182" s="19">
        <v>20</v>
      </c>
      <c r="L182" s="19">
        <v>5</v>
      </c>
      <c r="M182" s="19">
        <v>25</v>
      </c>
    </row>
    <row r="183" spans="1:13" ht="16.5" customHeight="1" x14ac:dyDescent="0.3">
      <c r="A183" s="17">
        <v>3412</v>
      </c>
      <c r="B183" s="17" t="s">
        <v>203</v>
      </c>
      <c r="C183" s="17" t="s">
        <v>18</v>
      </c>
      <c r="D183" s="18">
        <v>45529</v>
      </c>
      <c r="E183" s="17" t="s">
        <v>15</v>
      </c>
      <c r="F183" s="19">
        <v>5</v>
      </c>
      <c r="G183" s="17" t="s">
        <v>20</v>
      </c>
      <c r="H183" s="17" t="s">
        <v>19</v>
      </c>
      <c r="I183" s="19">
        <v>0</v>
      </c>
      <c r="J183" s="17" t="s">
        <v>19</v>
      </c>
      <c r="K183" s="19">
        <v>0</v>
      </c>
      <c r="L183" s="19">
        <v>0</v>
      </c>
      <c r="M183" s="19">
        <v>5</v>
      </c>
    </row>
    <row r="184" spans="1:13" ht="16.5" customHeight="1" x14ac:dyDescent="0.3">
      <c r="A184" s="17">
        <v>3413</v>
      </c>
      <c r="B184" s="17" t="s">
        <v>204</v>
      </c>
      <c r="C184" s="17" t="s">
        <v>14</v>
      </c>
      <c r="D184" s="18">
        <v>45530</v>
      </c>
      <c r="E184" s="17" t="s">
        <v>19</v>
      </c>
      <c r="F184" s="19">
        <v>15</v>
      </c>
      <c r="G184" s="17" t="s">
        <v>23</v>
      </c>
      <c r="H184" s="17" t="s">
        <v>15</v>
      </c>
      <c r="I184" s="19">
        <v>30</v>
      </c>
      <c r="J184" s="17" t="s">
        <v>15</v>
      </c>
      <c r="K184" s="19">
        <v>20</v>
      </c>
      <c r="L184" s="19">
        <v>20</v>
      </c>
      <c r="M184" s="19">
        <v>45</v>
      </c>
    </row>
    <row r="185" spans="1:13" ht="16.5" customHeight="1" x14ac:dyDescent="0.3">
      <c r="A185" s="17">
        <v>3414</v>
      </c>
      <c r="B185" s="17" t="s">
        <v>205</v>
      </c>
      <c r="C185" s="17" t="s">
        <v>22</v>
      </c>
      <c r="D185" s="18">
        <v>45531</v>
      </c>
      <c r="E185" s="17" t="s">
        <v>15</v>
      </c>
      <c r="F185" s="19">
        <v>10</v>
      </c>
      <c r="G185" s="17" t="s">
        <v>23</v>
      </c>
      <c r="H185" s="17" t="s">
        <v>19</v>
      </c>
      <c r="I185" s="19">
        <v>0</v>
      </c>
      <c r="J185" s="17" t="s">
        <v>15</v>
      </c>
      <c r="K185" s="19">
        <v>20</v>
      </c>
      <c r="L185" s="19">
        <v>12</v>
      </c>
      <c r="M185" s="19">
        <v>18</v>
      </c>
    </row>
    <row r="186" spans="1:13" ht="16.5" customHeight="1" x14ac:dyDescent="0.3">
      <c r="A186" s="17">
        <v>3415</v>
      </c>
      <c r="B186" s="17" t="s">
        <v>206</v>
      </c>
      <c r="C186" s="17" t="s">
        <v>18</v>
      </c>
      <c r="D186" s="18">
        <v>45532</v>
      </c>
      <c r="E186" s="17" t="s">
        <v>19</v>
      </c>
      <c r="F186" s="19">
        <v>5</v>
      </c>
      <c r="G186" s="17" t="s">
        <v>16</v>
      </c>
      <c r="H186" s="17" t="s">
        <v>19</v>
      </c>
      <c r="I186" s="19">
        <v>0</v>
      </c>
      <c r="J186" s="17" t="s">
        <v>19</v>
      </c>
      <c r="K186" s="19">
        <v>0</v>
      </c>
      <c r="L186" s="19">
        <v>2</v>
      </c>
      <c r="M186" s="19">
        <v>3</v>
      </c>
    </row>
    <row r="187" spans="1:13" ht="16.5" customHeight="1" x14ac:dyDescent="0.3">
      <c r="A187" s="17">
        <v>3416</v>
      </c>
      <c r="B187" s="17" t="s">
        <v>207</v>
      </c>
      <c r="C187" s="17" t="s">
        <v>14</v>
      </c>
      <c r="D187" s="18">
        <v>45533</v>
      </c>
      <c r="E187" s="17" t="s">
        <v>15</v>
      </c>
      <c r="F187" s="19">
        <v>15</v>
      </c>
      <c r="G187" s="17" t="s">
        <v>20</v>
      </c>
      <c r="H187" s="17" t="s">
        <v>15</v>
      </c>
      <c r="I187" s="19">
        <v>30</v>
      </c>
      <c r="J187" s="17" t="s">
        <v>15</v>
      </c>
      <c r="K187" s="19">
        <v>20</v>
      </c>
      <c r="L187" s="19">
        <v>5</v>
      </c>
      <c r="M187" s="19">
        <v>60</v>
      </c>
    </row>
    <row r="188" spans="1:13" ht="16.5" customHeight="1" x14ac:dyDescent="0.3">
      <c r="A188" s="17">
        <v>3417</v>
      </c>
      <c r="B188" s="17" t="s">
        <v>208</v>
      </c>
      <c r="C188" s="17" t="s">
        <v>22</v>
      </c>
      <c r="D188" s="18">
        <v>45534</v>
      </c>
      <c r="E188" s="17" t="s">
        <v>19</v>
      </c>
      <c r="F188" s="19">
        <v>10</v>
      </c>
      <c r="G188" s="17" t="s">
        <v>16</v>
      </c>
      <c r="H188" s="17" t="s">
        <v>19</v>
      </c>
      <c r="I188" s="19">
        <v>0</v>
      </c>
      <c r="J188" s="17" t="s">
        <v>15</v>
      </c>
      <c r="K188" s="19">
        <v>20</v>
      </c>
      <c r="L188" s="19">
        <v>10</v>
      </c>
      <c r="M188" s="19">
        <v>20</v>
      </c>
    </row>
    <row r="189" spans="1:13" ht="16.5" customHeight="1" x14ac:dyDescent="0.3">
      <c r="A189" s="17">
        <v>3418</v>
      </c>
      <c r="B189" s="17" t="s">
        <v>209</v>
      </c>
      <c r="C189" s="17" t="s">
        <v>18</v>
      </c>
      <c r="D189" s="18">
        <v>45535</v>
      </c>
      <c r="E189" s="17" t="s">
        <v>15</v>
      </c>
      <c r="F189" s="19">
        <v>5</v>
      </c>
      <c r="G189" s="17" t="s">
        <v>23</v>
      </c>
      <c r="H189" s="17" t="s">
        <v>19</v>
      </c>
      <c r="I189" s="19">
        <v>0</v>
      </c>
      <c r="J189" s="17" t="s">
        <v>19</v>
      </c>
      <c r="K189" s="19">
        <v>0</v>
      </c>
      <c r="L189" s="19">
        <v>0</v>
      </c>
      <c r="M189" s="19">
        <v>5</v>
      </c>
    </row>
    <row r="190" spans="1:13" ht="16.5" customHeight="1" x14ac:dyDescent="0.3">
      <c r="A190" s="17">
        <v>3419</v>
      </c>
      <c r="B190" s="17" t="s">
        <v>210</v>
      </c>
      <c r="C190" s="17" t="s">
        <v>14</v>
      </c>
      <c r="D190" s="18">
        <v>45536</v>
      </c>
      <c r="E190" s="17" t="s">
        <v>19</v>
      </c>
      <c r="F190" s="19">
        <v>15</v>
      </c>
      <c r="G190" s="17" t="s">
        <v>16</v>
      </c>
      <c r="H190" s="17" t="s">
        <v>15</v>
      </c>
      <c r="I190" s="19">
        <v>30</v>
      </c>
      <c r="J190" s="17" t="s">
        <v>15</v>
      </c>
      <c r="K190" s="19">
        <v>20</v>
      </c>
      <c r="L190" s="19">
        <v>3</v>
      </c>
      <c r="M190" s="19">
        <v>62</v>
      </c>
    </row>
    <row r="191" spans="1:13" ht="16.5" customHeight="1" x14ac:dyDescent="0.3">
      <c r="A191" s="17">
        <v>3420</v>
      </c>
      <c r="B191" s="17" t="s">
        <v>211</v>
      </c>
      <c r="C191" s="17" t="s">
        <v>22</v>
      </c>
      <c r="D191" s="18">
        <v>45537</v>
      </c>
      <c r="E191" s="17" t="s">
        <v>15</v>
      </c>
      <c r="F191" s="19">
        <v>10</v>
      </c>
      <c r="G191" s="17" t="s">
        <v>20</v>
      </c>
      <c r="H191" s="17" t="s">
        <v>19</v>
      </c>
      <c r="I191" s="19">
        <v>0</v>
      </c>
      <c r="J191" s="17" t="s">
        <v>15</v>
      </c>
      <c r="K191" s="19">
        <v>20</v>
      </c>
      <c r="L191" s="19">
        <v>15</v>
      </c>
      <c r="M191" s="19">
        <v>15</v>
      </c>
    </row>
    <row r="192" spans="1:13" ht="16.5" customHeight="1" x14ac:dyDescent="0.3">
      <c r="A192" s="17">
        <v>3421</v>
      </c>
      <c r="B192" s="17" t="s">
        <v>40</v>
      </c>
      <c r="C192" s="17" t="s">
        <v>18</v>
      </c>
      <c r="D192" s="18">
        <v>45538</v>
      </c>
      <c r="E192" s="17" t="s">
        <v>19</v>
      </c>
      <c r="F192" s="19">
        <v>5</v>
      </c>
      <c r="G192" s="17" t="s">
        <v>16</v>
      </c>
      <c r="H192" s="17" t="s">
        <v>19</v>
      </c>
      <c r="I192" s="19">
        <v>0</v>
      </c>
      <c r="J192" s="17" t="s">
        <v>19</v>
      </c>
      <c r="K192" s="19">
        <v>0</v>
      </c>
      <c r="L192" s="19">
        <v>1</v>
      </c>
      <c r="M192" s="19">
        <v>4</v>
      </c>
    </row>
    <row r="193" spans="1:13" ht="16.5" customHeight="1" x14ac:dyDescent="0.3">
      <c r="A193" s="17">
        <v>3422</v>
      </c>
      <c r="B193" s="17" t="s">
        <v>212</v>
      </c>
      <c r="C193" s="17" t="s">
        <v>14</v>
      </c>
      <c r="D193" s="18">
        <v>45539</v>
      </c>
      <c r="E193" s="17" t="s">
        <v>15</v>
      </c>
      <c r="F193" s="19">
        <v>15</v>
      </c>
      <c r="G193" s="17" t="s">
        <v>23</v>
      </c>
      <c r="H193" s="17" t="s">
        <v>15</v>
      </c>
      <c r="I193" s="19">
        <v>30</v>
      </c>
      <c r="J193" s="17" t="s">
        <v>15</v>
      </c>
      <c r="K193" s="19">
        <v>20</v>
      </c>
      <c r="L193" s="19">
        <v>7</v>
      </c>
      <c r="M193" s="19">
        <v>58</v>
      </c>
    </row>
    <row r="194" spans="1:13" ht="16.5" customHeight="1" x14ac:dyDescent="0.3">
      <c r="A194" s="17">
        <v>3423</v>
      </c>
      <c r="B194" s="17" t="s">
        <v>213</v>
      </c>
      <c r="C194" s="17" t="s">
        <v>22</v>
      </c>
      <c r="D194" s="18">
        <v>45540</v>
      </c>
      <c r="E194" s="17" t="s">
        <v>19</v>
      </c>
      <c r="F194" s="19">
        <v>10</v>
      </c>
      <c r="G194" s="17" t="s">
        <v>16</v>
      </c>
      <c r="H194" s="17" t="s">
        <v>19</v>
      </c>
      <c r="I194" s="19">
        <v>0</v>
      </c>
      <c r="J194" s="17" t="s">
        <v>15</v>
      </c>
      <c r="K194" s="19">
        <v>20</v>
      </c>
      <c r="L194" s="19">
        <v>10</v>
      </c>
      <c r="M194" s="19">
        <v>20</v>
      </c>
    </row>
    <row r="195" spans="1:13" ht="16.5" customHeight="1" x14ac:dyDescent="0.3">
      <c r="A195" s="17">
        <v>3424</v>
      </c>
      <c r="B195" s="17" t="s">
        <v>39</v>
      </c>
      <c r="C195" s="17" t="s">
        <v>18</v>
      </c>
      <c r="D195" s="18">
        <v>45541</v>
      </c>
      <c r="E195" s="17" t="s">
        <v>15</v>
      </c>
      <c r="F195" s="19">
        <v>5</v>
      </c>
      <c r="G195" s="17" t="s">
        <v>20</v>
      </c>
      <c r="H195" s="17" t="s">
        <v>19</v>
      </c>
      <c r="I195" s="19">
        <v>0</v>
      </c>
      <c r="J195" s="17" t="s">
        <v>19</v>
      </c>
      <c r="K195" s="19">
        <v>0</v>
      </c>
      <c r="L195" s="19">
        <v>0</v>
      </c>
      <c r="M195" s="19">
        <v>5</v>
      </c>
    </row>
    <row r="196" spans="1:13" ht="16.5" customHeight="1" x14ac:dyDescent="0.3">
      <c r="A196" s="17">
        <v>3425</v>
      </c>
      <c r="B196" s="17" t="s">
        <v>214</v>
      </c>
      <c r="C196" s="17" t="s">
        <v>14</v>
      </c>
      <c r="D196" s="18">
        <v>45542</v>
      </c>
      <c r="E196" s="17" t="s">
        <v>19</v>
      </c>
      <c r="F196" s="19">
        <v>15</v>
      </c>
      <c r="G196" s="17" t="s">
        <v>16</v>
      </c>
      <c r="H196" s="17" t="s">
        <v>15</v>
      </c>
      <c r="I196" s="19">
        <v>30</v>
      </c>
      <c r="J196" s="17" t="s">
        <v>15</v>
      </c>
      <c r="K196" s="19">
        <v>20</v>
      </c>
      <c r="L196" s="19">
        <v>20</v>
      </c>
      <c r="M196" s="19">
        <v>45</v>
      </c>
    </row>
    <row r="197" spans="1:13" ht="16.5" customHeight="1" x14ac:dyDescent="0.3">
      <c r="A197" s="17">
        <v>3426</v>
      </c>
      <c r="B197" s="17" t="s">
        <v>192</v>
      </c>
      <c r="C197" s="17" t="s">
        <v>22</v>
      </c>
      <c r="D197" s="18">
        <v>45543</v>
      </c>
      <c r="E197" s="17" t="s">
        <v>15</v>
      </c>
      <c r="F197" s="19">
        <v>10</v>
      </c>
      <c r="G197" s="17" t="s">
        <v>23</v>
      </c>
      <c r="H197" s="17" t="s">
        <v>19</v>
      </c>
      <c r="I197" s="19">
        <v>0</v>
      </c>
      <c r="J197" s="17" t="s">
        <v>15</v>
      </c>
      <c r="K197" s="19">
        <v>20</v>
      </c>
      <c r="L197" s="19">
        <v>15</v>
      </c>
      <c r="M197" s="19">
        <v>15</v>
      </c>
    </row>
    <row r="198" spans="1:13" ht="16.5" customHeight="1" x14ac:dyDescent="0.3">
      <c r="A198" s="17">
        <v>3427</v>
      </c>
      <c r="B198" s="17" t="s">
        <v>215</v>
      </c>
      <c r="C198" s="17" t="s">
        <v>18</v>
      </c>
      <c r="D198" s="18">
        <v>45544</v>
      </c>
      <c r="E198" s="17" t="s">
        <v>19</v>
      </c>
      <c r="F198" s="19">
        <v>5</v>
      </c>
      <c r="G198" s="17" t="s">
        <v>16</v>
      </c>
      <c r="H198" s="17" t="s">
        <v>19</v>
      </c>
      <c r="I198" s="19">
        <v>0</v>
      </c>
      <c r="J198" s="17" t="s">
        <v>19</v>
      </c>
      <c r="K198" s="19">
        <v>0</v>
      </c>
      <c r="L198" s="19">
        <v>1</v>
      </c>
      <c r="M198" s="19">
        <v>4</v>
      </c>
    </row>
    <row r="199" spans="1:13" ht="16.5" customHeight="1" x14ac:dyDescent="0.3">
      <c r="A199" s="17">
        <v>3428</v>
      </c>
      <c r="B199" s="17" t="s">
        <v>216</v>
      </c>
      <c r="C199" s="17" t="s">
        <v>14</v>
      </c>
      <c r="D199" s="18">
        <v>45545</v>
      </c>
      <c r="E199" s="17" t="s">
        <v>15</v>
      </c>
      <c r="F199" s="19">
        <v>15</v>
      </c>
      <c r="G199" s="17" t="s">
        <v>20</v>
      </c>
      <c r="H199" s="17" t="s">
        <v>15</v>
      </c>
      <c r="I199" s="19">
        <v>30</v>
      </c>
      <c r="J199" s="17" t="s">
        <v>15</v>
      </c>
      <c r="K199" s="19">
        <v>20</v>
      </c>
      <c r="L199" s="19">
        <v>3</v>
      </c>
      <c r="M199" s="19">
        <v>62</v>
      </c>
    </row>
    <row r="200" spans="1:13" ht="16.5" customHeight="1" x14ac:dyDescent="0.3">
      <c r="A200" s="17">
        <v>3429</v>
      </c>
      <c r="B200" s="17" t="s">
        <v>217</v>
      </c>
      <c r="C200" s="17" t="s">
        <v>22</v>
      </c>
      <c r="D200" s="18">
        <v>45546</v>
      </c>
      <c r="E200" s="17" t="s">
        <v>19</v>
      </c>
      <c r="F200" s="19">
        <v>10</v>
      </c>
      <c r="G200" s="17" t="s">
        <v>16</v>
      </c>
      <c r="H200" s="17" t="s">
        <v>19</v>
      </c>
      <c r="I200" s="19">
        <v>0</v>
      </c>
      <c r="J200" s="17" t="s">
        <v>15</v>
      </c>
      <c r="K200" s="19">
        <v>20</v>
      </c>
      <c r="L200" s="19">
        <v>10</v>
      </c>
      <c r="M200" s="19">
        <v>20</v>
      </c>
    </row>
    <row r="201" spans="1:13" ht="16.5" customHeight="1" x14ac:dyDescent="0.3">
      <c r="A201" s="17">
        <v>3430</v>
      </c>
      <c r="B201" s="17" t="s">
        <v>218</v>
      </c>
      <c r="C201" s="17" t="s">
        <v>18</v>
      </c>
      <c r="D201" s="18">
        <v>45547</v>
      </c>
      <c r="E201" s="17" t="s">
        <v>15</v>
      </c>
      <c r="F201" s="19">
        <v>5</v>
      </c>
      <c r="G201" s="17" t="s">
        <v>23</v>
      </c>
      <c r="H201" s="17" t="s">
        <v>19</v>
      </c>
      <c r="I201" s="19">
        <v>0</v>
      </c>
      <c r="J201" s="17" t="s">
        <v>19</v>
      </c>
      <c r="K201" s="19">
        <v>0</v>
      </c>
      <c r="L201" s="19">
        <v>0</v>
      </c>
      <c r="M201" s="19">
        <v>5</v>
      </c>
    </row>
    <row r="202" spans="1:13" ht="16.5" customHeight="1" x14ac:dyDescent="0.3">
      <c r="A202" s="17">
        <v>3431</v>
      </c>
      <c r="B202" s="17" t="s">
        <v>219</v>
      </c>
      <c r="C202" s="17" t="s">
        <v>14</v>
      </c>
      <c r="D202" s="18">
        <v>45548</v>
      </c>
      <c r="E202" s="17" t="s">
        <v>19</v>
      </c>
      <c r="F202" s="19">
        <v>15</v>
      </c>
      <c r="G202" s="17" t="s">
        <v>16</v>
      </c>
      <c r="H202" s="17" t="s">
        <v>15</v>
      </c>
      <c r="I202" s="19">
        <v>30</v>
      </c>
      <c r="J202" s="17" t="s">
        <v>15</v>
      </c>
      <c r="K202" s="19">
        <v>20</v>
      </c>
      <c r="L202" s="19">
        <v>15</v>
      </c>
      <c r="M202" s="19">
        <v>50</v>
      </c>
    </row>
    <row r="203" spans="1:13" ht="16.5" customHeight="1" x14ac:dyDescent="0.3">
      <c r="A203" s="17">
        <v>3432</v>
      </c>
      <c r="B203" s="17" t="s">
        <v>220</v>
      </c>
      <c r="C203" s="17" t="s">
        <v>22</v>
      </c>
      <c r="D203" s="18">
        <v>45549</v>
      </c>
      <c r="E203" s="17" t="s">
        <v>15</v>
      </c>
      <c r="F203" s="19">
        <v>10</v>
      </c>
      <c r="G203" s="17" t="s">
        <v>20</v>
      </c>
      <c r="H203" s="17" t="s">
        <v>19</v>
      </c>
      <c r="I203" s="19">
        <v>0</v>
      </c>
      <c r="J203" s="17" t="s">
        <v>15</v>
      </c>
      <c r="K203" s="19">
        <v>20</v>
      </c>
      <c r="L203" s="19">
        <v>15</v>
      </c>
      <c r="M203" s="19">
        <v>15</v>
      </c>
    </row>
    <row r="204" spans="1:13" ht="16.5" customHeight="1" x14ac:dyDescent="0.3">
      <c r="A204" s="17">
        <v>3433</v>
      </c>
      <c r="B204" s="17" t="s">
        <v>221</v>
      </c>
      <c r="C204" s="17" t="s">
        <v>18</v>
      </c>
      <c r="D204" s="18">
        <v>45550</v>
      </c>
      <c r="E204" s="17" t="s">
        <v>19</v>
      </c>
      <c r="F204" s="19">
        <v>5</v>
      </c>
      <c r="G204" s="17" t="s">
        <v>16</v>
      </c>
      <c r="H204" s="17" t="s">
        <v>19</v>
      </c>
      <c r="I204" s="19">
        <v>0</v>
      </c>
      <c r="J204" s="17" t="s">
        <v>19</v>
      </c>
      <c r="K204" s="19">
        <v>0</v>
      </c>
      <c r="L204" s="19">
        <v>1</v>
      </c>
      <c r="M204" s="19">
        <v>4</v>
      </c>
    </row>
    <row r="205" spans="1:13" ht="16.5" customHeight="1" x14ac:dyDescent="0.3">
      <c r="A205" s="17">
        <v>3434</v>
      </c>
      <c r="B205" s="17" t="s">
        <v>222</v>
      </c>
      <c r="C205" s="17" t="s">
        <v>14</v>
      </c>
      <c r="D205" s="18">
        <v>45551</v>
      </c>
      <c r="E205" s="17" t="s">
        <v>15</v>
      </c>
      <c r="F205" s="19">
        <v>15</v>
      </c>
      <c r="G205" s="17" t="s">
        <v>23</v>
      </c>
      <c r="H205" s="17" t="s">
        <v>15</v>
      </c>
      <c r="I205" s="19">
        <v>30</v>
      </c>
      <c r="J205" s="17" t="s">
        <v>15</v>
      </c>
      <c r="K205" s="19">
        <v>20</v>
      </c>
      <c r="L205" s="19">
        <v>7</v>
      </c>
      <c r="M205" s="19">
        <v>58</v>
      </c>
    </row>
    <row r="206" spans="1:13" ht="16.5" customHeight="1" x14ac:dyDescent="0.3">
      <c r="A206" s="17">
        <v>3435</v>
      </c>
      <c r="B206" s="17" t="s">
        <v>223</v>
      </c>
      <c r="C206" s="17" t="s">
        <v>22</v>
      </c>
      <c r="D206" s="18">
        <v>45552</v>
      </c>
      <c r="E206" s="17" t="s">
        <v>19</v>
      </c>
      <c r="F206" s="19">
        <v>10</v>
      </c>
      <c r="G206" s="17" t="s">
        <v>16</v>
      </c>
      <c r="H206" s="17" t="s">
        <v>19</v>
      </c>
      <c r="I206" s="19">
        <v>0</v>
      </c>
      <c r="J206" s="17" t="s">
        <v>15</v>
      </c>
      <c r="K206" s="19">
        <v>20</v>
      </c>
      <c r="L206" s="19">
        <v>10</v>
      </c>
      <c r="M206" s="19">
        <v>20</v>
      </c>
    </row>
    <row r="207" spans="1:13" ht="16.5" customHeight="1" x14ac:dyDescent="0.3">
      <c r="A207" s="17">
        <v>3436</v>
      </c>
      <c r="B207" s="17" t="s">
        <v>224</v>
      </c>
      <c r="C207" s="17" t="s">
        <v>18</v>
      </c>
      <c r="D207" s="18">
        <v>45553</v>
      </c>
      <c r="E207" s="17" t="s">
        <v>15</v>
      </c>
      <c r="F207" s="19">
        <v>5</v>
      </c>
      <c r="G207" s="17" t="s">
        <v>16</v>
      </c>
      <c r="H207" s="17" t="s">
        <v>19</v>
      </c>
      <c r="I207" s="19">
        <v>0</v>
      </c>
      <c r="J207" s="17" t="s">
        <v>19</v>
      </c>
      <c r="K207" s="19">
        <v>0</v>
      </c>
      <c r="L207" s="19">
        <v>0</v>
      </c>
      <c r="M207" s="19">
        <v>5</v>
      </c>
    </row>
    <row r="208" spans="1:13" ht="16.5" customHeight="1" x14ac:dyDescent="0.3">
      <c r="A208" s="17">
        <v>3437</v>
      </c>
      <c r="B208" s="17" t="s">
        <v>225</v>
      </c>
      <c r="C208" s="17" t="s">
        <v>14</v>
      </c>
      <c r="D208" s="18">
        <v>45554</v>
      </c>
      <c r="E208" s="17" t="s">
        <v>19</v>
      </c>
      <c r="F208" s="19">
        <v>15</v>
      </c>
      <c r="G208" s="17" t="s">
        <v>23</v>
      </c>
      <c r="H208" s="17" t="s">
        <v>15</v>
      </c>
      <c r="I208" s="19">
        <v>30</v>
      </c>
      <c r="J208" s="17" t="s">
        <v>15</v>
      </c>
      <c r="K208" s="19">
        <v>20</v>
      </c>
      <c r="L208" s="19">
        <v>7</v>
      </c>
      <c r="M208" s="19">
        <v>58</v>
      </c>
    </row>
    <row r="209" spans="1:13" ht="16.5" customHeight="1" x14ac:dyDescent="0.3">
      <c r="A209" s="17">
        <v>3438</v>
      </c>
      <c r="B209" s="17" t="s">
        <v>226</v>
      </c>
      <c r="C209" s="17" t="s">
        <v>22</v>
      </c>
      <c r="D209" s="18">
        <v>45555</v>
      </c>
      <c r="E209" s="17" t="s">
        <v>15</v>
      </c>
      <c r="F209" s="19">
        <v>10</v>
      </c>
      <c r="G209" s="17" t="s">
        <v>20</v>
      </c>
      <c r="H209" s="17" t="s">
        <v>19</v>
      </c>
      <c r="I209" s="19">
        <v>0</v>
      </c>
      <c r="J209" s="17" t="s">
        <v>15</v>
      </c>
      <c r="K209" s="19">
        <v>20</v>
      </c>
      <c r="L209" s="19">
        <v>10</v>
      </c>
      <c r="M209" s="19">
        <v>20</v>
      </c>
    </row>
    <row r="210" spans="1:13" ht="16.5" customHeight="1" x14ac:dyDescent="0.3">
      <c r="A210" s="17">
        <v>3439</v>
      </c>
      <c r="B210" s="17" t="s">
        <v>227</v>
      </c>
      <c r="C210" s="17" t="s">
        <v>18</v>
      </c>
      <c r="D210" s="18">
        <v>45556</v>
      </c>
      <c r="E210" s="17" t="s">
        <v>19</v>
      </c>
      <c r="F210" s="19">
        <v>5</v>
      </c>
      <c r="G210" s="17" t="s">
        <v>23</v>
      </c>
      <c r="H210" s="17" t="s">
        <v>19</v>
      </c>
      <c r="I210" s="19">
        <v>0</v>
      </c>
      <c r="J210" s="17" t="s">
        <v>19</v>
      </c>
      <c r="K210" s="19">
        <v>0</v>
      </c>
      <c r="L210" s="19">
        <v>1</v>
      </c>
      <c r="M210" s="19">
        <v>4</v>
      </c>
    </row>
    <row r="211" spans="1:13" ht="16.5" customHeight="1" x14ac:dyDescent="0.3">
      <c r="A211" s="17">
        <v>3440</v>
      </c>
      <c r="B211" s="17" t="s">
        <v>228</v>
      </c>
      <c r="C211" s="17" t="s">
        <v>14</v>
      </c>
      <c r="D211" s="18">
        <v>45557</v>
      </c>
      <c r="E211" s="17" t="s">
        <v>15</v>
      </c>
      <c r="F211" s="19">
        <v>15</v>
      </c>
      <c r="G211" s="17" t="s">
        <v>16</v>
      </c>
      <c r="H211" s="17" t="s">
        <v>15</v>
      </c>
      <c r="I211" s="19">
        <v>30</v>
      </c>
      <c r="J211" s="17" t="s">
        <v>15</v>
      </c>
      <c r="K211" s="19">
        <v>20</v>
      </c>
      <c r="L211" s="19">
        <v>15</v>
      </c>
      <c r="M211" s="19">
        <v>50</v>
      </c>
    </row>
    <row r="212" spans="1:13" ht="16.5" customHeight="1" x14ac:dyDescent="0.3">
      <c r="A212" s="17">
        <v>3441</v>
      </c>
      <c r="B212" s="17" t="s">
        <v>229</v>
      </c>
      <c r="C212" s="17" t="s">
        <v>22</v>
      </c>
      <c r="D212" s="18">
        <v>45558</v>
      </c>
      <c r="E212" s="17" t="s">
        <v>19</v>
      </c>
      <c r="F212" s="19">
        <v>10</v>
      </c>
      <c r="G212" s="17" t="s">
        <v>16</v>
      </c>
      <c r="H212" s="17" t="s">
        <v>19</v>
      </c>
      <c r="I212" s="19">
        <v>0</v>
      </c>
      <c r="J212" s="17" t="s">
        <v>15</v>
      </c>
      <c r="K212" s="19">
        <v>20</v>
      </c>
      <c r="L212" s="19">
        <v>5</v>
      </c>
      <c r="M212" s="19">
        <v>25</v>
      </c>
    </row>
    <row r="213" spans="1:13" ht="16.5" customHeight="1" x14ac:dyDescent="0.3">
      <c r="A213" s="17">
        <v>3442</v>
      </c>
      <c r="B213" s="17" t="s">
        <v>230</v>
      </c>
      <c r="C213" s="17" t="s">
        <v>18</v>
      </c>
      <c r="D213" s="18">
        <v>45559</v>
      </c>
      <c r="E213" s="17" t="s">
        <v>15</v>
      </c>
      <c r="F213" s="19">
        <v>5</v>
      </c>
      <c r="G213" s="17" t="s">
        <v>20</v>
      </c>
      <c r="H213" s="17" t="s">
        <v>19</v>
      </c>
      <c r="I213" s="19">
        <v>0</v>
      </c>
      <c r="J213" s="17" t="s">
        <v>19</v>
      </c>
      <c r="K213" s="19">
        <v>0</v>
      </c>
      <c r="L213" s="19">
        <v>0</v>
      </c>
      <c r="M213" s="19">
        <v>5</v>
      </c>
    </row>
    <row r="214" spans="1:13" ht="16.5" customHeight="1" x14ac:dyDescent="0.3">
      <c r="A214" s="17">
        <v>3443</v>
      </c>
      <c r="B214" s="17" t="s">
        <v>231</v>
      </c>
      <c r="C214" s="17" t="s">
        <v>14</v>
      </c>
      <c r="D214" s="18">
        <v>45560</v>
      </c>
      <c r="E214" s="17" t="s">
        <v>19</v>
      </c>
      <c r="F214" s="19">
        <v>15</v>
      </c>
      <c r="G214" s="17" t="s">
        <v>23</v>
      </c>
      <c r="H214" s="17" t="s">
        <v>15</v>
      </c>
      <c r="I214" s="19">
        <v>30</v>
      </c>
      <c r="J214" s="17" t="s">
        <v>15</v>
      </c>
      <c r="K214" s="19">
        <v>20</v>
      </c>
      <c r="L214" s="19">
        <v>20</v>
      </c>
      <c r="M214" s="19">
        <v>45</v>
      </c>
    </row>
    <row r="215" spans="1:13" ht="16.5" customHeight="1" x14ac:dyDescent="0.3">
      <c r="A215" s="17">
        <v>3444</v>
      </c>
      <c r="B215" s="17" t="s">
        <v>232</v>
      </c>
      <c r="C215" s="17" t="s">
        <v>22</v>
      </c>
      <c r="D215" s="18">
        <v>45561</v>
      </c>
      <c r="E215" s="17" t="s">
        <v>15</v>
      </c>
      <c r="F215" s="19">
        <v>10</v>
      </c>
      <c r="G215" s="17" t="s">
        <v>23</v>
      </c>
      <c r="H215" s="17" t="s">
        <v>19</v>
      </c>
      <c r="I215" s="19">
        <v>0</v>
      </c>
      <c r="J215" s="17" t="s">
        <v>15</v>
      </c>
      <c r="K215" s="19">
        <v>20</v>
      </c>
      <c r="L215" s="19">
        <v>12</v>
      </c>
      <c r="M215" s="19">
        <v>18</v>
      </c>
    </row>
    <row r="216" spans="1:13" ht="16.5" customHeight="1" x14ac:dyDescent="0.3">
      <c r="A216" s="17">
        <v>3445</v>
      </c>
      <c r="B216" s="17" t="s">
        <v>62</v>
      </c>
      <c r="C216" s="17" t="s">
        <v>18</v>
      </c>
      <c r="D216" s="18">
        <v>45562</v>
      </c>
      <c r="E216" s="17" t="s">
        <v>19</v>
      </c>
      <c r="F216" s="19">
        <v>5</v>
      </c>
      <c r="G216" s="17" t="s">
        <v>16</v>
      </c>
      <c r="H216" s="17" t="s">
        <v>19</v>
      </c>
      <c r="I216" s="19">
        <v>0</v>
      </c>
      <c r="J216" s="17" t="s">
        <v>19</v>
      </c>
      <c r="K216" s="19">
        <v>0</v>
      </c>
      <c r="L216" s="19">
        <v>2</v>
      </c>
      <c r="M216" s="19">
        <v>3</v>
      </c>
    </row>
    <row r="217" spans="1:13" ht="16.5" customHeight="1" x14ac:dyDescent="0.3">
      <c r="A217" s="17">
        <v>3446</v>
      </c>
      <c r="B217" s="17" t="s">
        <v>233</v>
      </c>
      <c r="C217" s="17" t="s">
        <v>14</v>
      </c>
      <c r="D217" s="18">
        <v>45563</v>
      </c>
      <c r="E217" s="17" t="s">
        <v>15</v>
      </c>
      <c r="F217" s="19">
        <v>15</v>
      </c>
      <c r="G217" s="17" t="s">
        <v>20</v>
      </c>
      <c r="H217" s="17" t="s">
        <v>15</v>
      </c>
      <c r="I217" s="19">
        <v>30</v>
      </c>
      <c r="J217" s="17" t="s">
        <v>15</v>
      </c>
      <c r="K217" s="19">
        <v>20</v>
      </c>
      <c r="L217" s="19">
        <v>5</v>
      </c>
      <c r="M217" s="19">
        <v>60</v>
      </c>
    </row>
    <row r="218" spans="1:13" ht="16.5" customHeight="1" x14ac:dyDescent="0.3">
      <c r="A218" s="17">
        <v>3447</v>
      </c>
      <c r="B218" s="17" t="s">
        <v>234</v>
      </c>
      <c r="C218" s="17" t="s">
        <v>22</v>
      </c>
      <c r="D218" s="18">
        <v>45564</v>
      </c>
      <c r="E218" s="17" t="s">
        <v>19</v>
      </c>
      <c r="F218" s="19">
        <v>10</v>
      </c>
      <c r="G218" s="17" t="s">
        <v>16</v>
      </c>
      <c r="H218" s="17" t="s">
        <v>19</v>
      </c>
      <c r="I218" s="19">
        <v>0</v>
      </c>
      <c r="J218" s="17" t="s">
        <v>15</v>
      </c>
      <c r="K218" s="19">
        <v>20</v>
      </c>
      <c r="L218" s="19">
        <v>10</v>
      </c>
      <c r="M218" s="19">
        <v>20</v>
      </c>
    </row>
    <row r="219" spans="1:13" ht="16.5" customHeight="1" x14ac:dyDescent="0.3">
      <c r="A219" s="17">
        <v>3448</v>
      </c>
      <c r="B219" s="17" t="s">
        <v>235</v>
      </c>
      <c r="C219" s="17" t="s">
        <v>18</v>
      </c>
      <c r="D219" s="18">
        <v>45565</v>
      </c>
      <c r="E219" s="17" t="s">
        <v>15</v>
      </c>
      <c r="F219" s="19">
        <v>5</v>
      </c>
      <c r="G219" s="17" t="s">
        <v>23</v>
      </c>
      <c r="H219" s="17" t="s">
        <v>19</v>
      </c>
      <c r="I219" s="19">
        <v>0</v>
      </c>
      <c r="J219" s="17" t="s">
        <v>19</v>
      </c>
      <c r="K219" s="19">
        <v>0</v>
      </c>
      <c r="L219" s="19">
        <v>0</v>
      </c>
      <c r="M219" s="19">
        <v>5</v>
      </c>
    </row>
    <row r="220" spans="1:13" ht="16.5" customHeight="1" x14ac:dyDescent="0.3">
      <c r="A220" s="17">
        <v>3449</v>
      </c>
      <c r="B220" s="17" t="s">
        <v>236</v>
      </c>
      <c r="C220" s="17" t="s">
        <v>14</v>
      </c>
      <c r="D220" s="18">
        <v>45566</v>
      </c>
      <c r="E220" s="17" t="s">
        <v>19</v>
      </c>
      <c r="F220" s="19">
        <v>15</v>
      </c>
      <c r="G220" s="17" t="s">
        <v>16</v>
      </c>
      <c r="H220" s="17" t="s">
        <v>15</v>
      </c>
      <c r="I220" s="19">
        <v>30</v>
      </c>
      <c r="J220" s="17" t="s">
        <v>15</v>
      </c>
      <c r="K220" s="19">
        <v>20</v>
      </c>
      <c r="L220" s="19">
        <v>3</v>
      </c>
      <c r="M220" s="19">
        <v>62</v>
      </c>
    </row>
    <row r="221" spans="1:13" ht="16.5" customHeight="1" x14ac:dyDescent="0.3">
      <c r="A221" s="17">
        <v>3450</v>
      </c>
      <c r="B221" s="17" t="s">
        <v>237</v>
      </c>
      <c r="C221" s="17" t="s">
        <v>22</v>
      </c>
      <c r="D221" s="18">
        <v>45567</v>
      </c>
      <c r="E221" s="17" t="s">
        <v>15</v>
      </c>
      <c r="F221" s="19">
        <v>10</v>
      </c>
      <c r="G221" s="17" t="s">
        <v>20</v>
      </c>
      <c r="H221" s="17" t="s">
        <v>19</v>
      </c>
      <c r="I221" s="19">
        <v>0</v>
      </c>
      <c r="J221" s="17" t="s">
        <v>15</v>
      </c>
      <c r="K221" s="19">
        <v>20</v>
      </c>
      <c r="L221" s="19">
        <v>15</v>
      </c>
      <c r="M221" s="19">
        <v>15</v>
      </c>
    </row>
    <row r="222" spans="1:13" ht="16.5" customHeight="1" x14ac:dyDescent="0.3">
      <c r="A222" s="17">
        <v>3451</v>
      </c>
      <c r="B222" s="17" t="s">
        <v>238</v>
      </c>
      <c r="C222" s="17" t="s">
        <v>18</v>
      </c>
      <c r="D222" s="18">
        <v>45568</v>
      </c>
      <c r="E222" s="17" t="s">
        <v>19</v>
      </c>
      <c r="F222" s="19">
        <v>5</v>
      </c>
      <c r="G222" s="17" t="s">
        <v>16</v>
      </c>
      <c r="H222" s="17" t="s">
        <v>19</v>
      </c>
      <c r="I222" s="19">
        <v>0</v>
      </c>
      <c r="J222" s="17" t="s">
        <v>19</v>
      </c>
      <c r="K222" s="19">
        <v>0</v>
      </c>
      <c r="L222" s="19">
        <v>1</v>
      </c>
      <c r="M222" s="19">
        <v>4</v>
      </c>
    </row>
    <row r="223" spans="1:13" ht="16.5" customHeight="1" x14ac:dyDescent="0.3">
      <c r="A223" s="17">
        <v>3452</v>
      </c>
      <c r="B223" s="17" t="s">
        <v>216</v>
      </c>
      <c r="C223" s="17" t="s">
        <v>14</v>
      </c>
      <c r="D223" s="18">
        <v>45569</v>
      </c>
      <c r="E223" s="17" t="s">
        <v>15</v>
      </c>
      <c r="F223" s="19">
        <v>15</v>
      </c>
      <c r="G223" s="17" t="s">
        <v>23</v>
      </c>
      <c r="H223" s="17" t="s">
        <v>15</v>
      </c>
      <c r="I223" s="19">
        <v>30</v>
      </c>
      <c r="J223" s="17" t="s">
        <v>15</v>
      </c>
      <c r="K223" s="19">
        <v>20</v>
      </c>
      <c r="L223" s="19">
        <v>7</v>
      </c>
      <c r="M223" s="19">
        <v>58</v>
      </c>
    </row>
    <row r="224" spans="1:13" ht="16.5" customHeight="1" x14ac:dyDescent="0.3">
      <c r="A224" s="17">
        <v>3453</v>
      </c>
      <c r="B224" s="17" t="s">
        <v>70</v>
      </c>
      <c r="C224" s="17" t="s">
        <v>22</v>
      </c>
      <c r="D224" s="18">
        <v>45570</v>
      </c>
      <c r="E224" s="17" t="s">
        <v>19</v>
      </c>
      <c r="F224" s="19">
        <v>10</v>
      </c>
      <c r="G224" s="17" t="s">
        <v>16</v>
      </c>
      <c r="H224" s="17" t="s">
        <v>19</v>
      </c>
      <c r="I224" s="19">
        <v>0</v>
      </c>
      <c r="J224" s="17" t="s">
        <v>15</v>
      </c>
      <c r="K224" s="19">
        <v>20</v>
      </c>
      <c r="L224" s="19">
        <v>10</v>
      </c>
      <c r="M224" s="19">
        <v>20</v>
      </c>
    </row>
    <row r="225" spans="1:13" ht="16.5" customHeight="1" x14ac:dyDescent="0.3">
      <c r="A225" s="17">
        <v>3454</v>
      </c>
      <c r="B225" s="17" t="s">
        <v>239</v>
      </c>
      <c r="C225" s="17" t="s">
        <v>18</v>
      </c>
      <c r="D225" s="18">
        <v>45571</v>
      </c>
      <c r="E225" s="17" t="s">
        <v>15</v>
      </c>
      <c r="F225" s="19">
        <v>5</v>
      </c>
      <c r="G225" s="17" t="s">
        <v>20</v>
      </c>
      <c r="H225" s="17" t="s">
        <v>19</v>
      </c>
      <c r="I225" s="19">
        <v>0</v>
      </c>
      <c r="J225" s="17" t="s">
        <v>19</v>
      </c>
      <c r="K225" s="19">
        <v>0</v>
      </c>
      <c r="L225" s="19">
        <v>0</v>
      </c>
      <c r="M225" s="19">
        <v>5</v>
      </c>
    </row>
    <row r="226" spans="1:13" ht="16.5" customHeight="1" x14ac:dyDescent="0.3">
      <c r="A226" s="17">
        <v>3455</v>
      </c>
      <c r="B226" s="17" t="s">
        <v>240</v>
      </c>
      <c r="C226" s="17" t="s">
        <v>14</v>
      </c>
      <c r="D226" s="18">
        <v>45572</v>
      </c>
      <c r="E226" s="17" t="s">
        <v>19</v>
      </c>
      <c r="F226" s="19">
        <v>15</v>
      </c>
      <c r="G226" s="17" t="s">
        <v>16</v>
      </c>
      <c r="H226" s="17" t="s">
        <v>15</v>
      </c>
      <c r="I226" s="19">
        <v>30</v>
      </c>
      <c r="J226" s="17" t="s">
        <v>15</v>
      </c>
      <c r="K226" s="19">
        <v>20</v>
      </c>
      <c r="L226" s="19">
        <v>20</v>
      </c>
      <c r="M226" s="19">
        <v>45</v>
      </c>
    </row>
    <row r="227" spans="1:13" ht="16.5" customHeight="1" x14ac:dyDescent="0.3">
      <c r="A227" s="17">
        <v>3456</v>
      </c>
      <c r="B227" s="17" t="s">
        <v>241</v>
      </c>
      <c r="C227" s="17" t="s">
        <v>22</v>
      </c>
      <c r="D227" s="18">
        <v>45573</v>
      </c>
      <c r="E227" s="17" t="s">
        <v>15</v>
      </c>
      <c r="F227" s="19">
        <v>10</v>
      </c>
      <c r="G227" s="17" t="s">
        <v>23</v>
      </c>
      <c r="H227" s="17" t="s">
        <v>19</v>
      </c>
      <c r="I227" s="19">
        <v>0</v>
      </c>
      <c r="J227" s="17" t="s">
        <v>15</v>
      </c>
      <c r="K227" s="19">
        <v>20</v>
      </c>
      <c r="L227" s="19">
        <v>15</v>
      </c>
      <c r="M227" s="19">
        <v>15</v>
      </c>
    </row>
    <row r="228" spans="1:13" ht="16.5" customHeight="1" x14ac:dyDescent="0.3">
      <c r="A228" s="17">
        <v>3457</v>
      </c>
      <c r="B228" s="17" t="s">
        <v>242</v>
      </c>
      <c r="C228" s="17" t="s">
        <v>18</v>
      </c>
      <c r="D228" s="18">
        <v>45574</v>
      </c>
      <c r="E228" s="17" t="s">
        <v>19</v>
      </c>
      <c r="F228" s="19">
        <v>5</v>
      </c>
      <c r="G228" s="17" t="s">
        <v>16</v>
      </c>
      <c r="H228" s="17" t="s">
        <v>19</v>
      </c>
      <c r="I228" s="19">
        <v>0</v>
      </c>
      <c r="J228" s="17" t="s">
        <v>19</v>
      </c>
      <c r="K228" s="19">
        <v>0</v>
      </c>
      <c r="L228" s="19">
        <v>1</v>
      </c>
      <c r="M228" s="19">
        <v>4</v>
      </c>
    </row>
    <row r="229" spans="1:13" ht="16.5" customHeight="1" x14ac:dyDescent="0.3">
      <c r="A229" s="17">
        <v>3458</v>
      </c>
      <c r="B229" s="17" t="s">
        <v>243</v>
      </c>
      <c r="C229" s="17" t="s">
        <v>14</v>
      </c>
      <c r="D229" s="18">
        <v>45575</v>
      </c>
      <c r="E229" s="17" t="s">
        <v>15</v>
      </c>
      <c r="F229" s="19">
        <v>15</v>
      </c>
      <c r="G229" s="17" t="s">
        <v>20</v>
      </c>
      <c r="H229" s="17" t="s">
        <v>15</v>
      </c>
      <c r="I229" s="19">
        <v>30</v>
      </c>
      <c r="J229" s="17" t="s">
        <v>15</v>
      </c>
      <c r="K229" s="19">
        <v>20</v>
      </c>
      <c r="L229" s="19">
        <v>3</v>
      </c>
      <c r="M229" s="19">
        <v>62</v>
      </c>
    </row>
    <row r="230" spans="1:13" ht="16.5" customHeight="1" x14ac:dyDescent="0.3">
      <c r="A230" s="17">
        <v>3459</v>
      </c>
      <c r="B230" s="17" t="s">
        <v>244</v>
      </c>
      <c r="C230" s="17" t="s">
        <v>22</v>
      </c>
      <c r="D230" s="18">
        <v>45576</v>
      </c>
      <c r="E230" s="17" t="s">
        <v>19</v>
      </c>
      <c r="F230" s="19">
        <v>10</v>
      </c>
      <c r="G230" s="17" t="s">
        <v>16</v>
      </c>
      <c r="H230" s="17" t="s">
        <v>19</v>
      </c>
      <c r="I230" s="19">
        <v>0</v>
      </c>
      <c r="J230" s="17" t="s">
        <v>15</v>
      </c>
      <c r="K230" s="19">
        <v>20</v>
      </c>
      <c r="L230" s="19">
        <v>10</v>
      </c>
      <c r="M230" s="19">
        <v>20</v>
      </c>
    </row>
    <row r="231" spans="1:13" ht="16.5" customHeight="1" x14ac:dyDescent="0.3">
      <c r="A231" s="17">
        <v>3460</v>
      </c>
      <c r="B231" s="17" t="s">
        <v>152</v>
      </c>
      <c r="C231" s="17" t="s">
        <v>18</v>
      </c>
      <c r="D231" s="18">
        <v>45577</v>
      </c>
      <c r="E231" s="17" t="s">
        <v>15</v>
      </c>
      <c r="F231" s="19">
        <v>5</v>
      </c>
      <c r="G231" s="17" t="s">
        <v>23</v>
      </c>
      <c r="H231" s="17" t="s">
        <v>19</v>
      </c>
      <c r="I231" s="19">
        <v>0</v>
      </c>
      <c r="J231" s="17" t="s">
        <v>19</v>
      </c>
      <c r="K231" s="19">
        <v>0</v>
      </c>
      <c r="L231" s="19">
        <v>0</v>
      </c>
      <c r="M231" s="19">
        <v>5</v>
      </c>
    </row>
    <row r="232" spans="1:13" ht="16.5" customHeight="1" x14ac:dyDescent="0.3">
      <c r="A232" s="17">
        <v>3461</v>
      </c>
      <c r="B232" s="17" t="s">
        <v>245</v>
      </c>
      <c r="C232" s="17" t="s">
        <v>14</v>
      </c>
      <c r="D232" s="18">
        <v>45578</v>
      </c>
      <c r="E232" s="17" t="s">
        <v>19</v>
      </c>
      <c r="F232" s="19">
        <v>15</v>
      </c>
      <c r="G232" s="17" t="s">
        <v>16</v>
      </c>
      <c r="H232" s="17" t="s">
        <v>15</v>
      </c>
      <c r="I232" s="19">
        <v>30</v>
      </c>
      <c r="J232" s="17" t="s">
        <v>15</v>
      </c>
      <c r="K232" s="19">
        <v>20</v>
      </c>
      <c r="L232" s="19">
        <v>15</v>
      </c>
      <c r="M232" s="19">
        <v>50</v>
      </c>
    </row>
    <row r="233" spans="1:13" ht="16.5" customHeight="1" x14ac:dyDescent="0.3">
      <c r="A233" s="17">
        <v>3462</v>
      </c>
      <c r="B233" s="17" t="s">
        <v>246</v>
      </c>
      <c r="C233" s="17" t="s">
        <v>22</v>
      </c>
      <c r="D233" s="18">
        <v>45579</v>
      </c>
      <c r="E233" s="17" t="s">
        <v>15</v>
      </c>
      <c r="F233" s="19">
        <v>10</v>
      </c>
      <c r="G233" s="17" t="s">
        <v>20</v>
      </c>
      <c r="H233" s="17" t="s">
        <v>19</v>
      </c>
      <c r="I233" s="19">
        <v>0</v>
      </c>
      <c r="J233" s="17" t="s">
        <v>15</v>
      </c>
      <c r="K233" s="19">
        <v>20</v>
      </c>
      <c r="L233" s="19">
        <v>15</v>
      </c>
      <c r="M233" s="19">
        <v>15</v>
      </c>
    </row>
    <row r="234" spans="1:13" ht="16.5" customHeight="1" x14ac:dyDescent="0.3">
      <c r="A234" s="17">
        <v>3463</v>
      </c>
      <c r="B234" s="17" t="s">
        <v>247</v>
      </c>
      <c r="C234" s="17" t="s">
        <v>18</v>
      </c>
      <c r="D234" s="18">
        <v>45580</v>
      </c>
      <c r="E234" s="17" t="s">
        <v>19</v>
      </c>
      <c r="F234" s="19">
        <v>5</v>
      </c>
      <c r="G234" s="17" t="s">
        <v>16</v>
      </c>
      <c r="H234" s="17" t="s">
        <v>19</v>
      </c>
      <c r="I234" s="19">
        <v>0</v>
      </c>
      <c r="J234" s="17" t="s">
        <v>19</v>
      </c>
      <c r="K234" s="19">
        <v>0</v>
      </c>
      <c r="L234" s="19">
        <v>1</v>
      </c>
      <c r="M234" s="19">
        <v>4</v>
      </c>
    </row>
    <row r="235" spans="1:13" ht="16.5" customHeight="1" x14ac:dyDescent="0.3">
      <c r="A235" s="17">
        <v>3464</v>
      </c>
      <c r="B235" s="17" t="s">
        <v>248</v>
      </c>
      <c r="C235" s="17" t="s">
        <v>14</v>
      </c>
      <c r="D235" s="18">
        <v>45581</v>
      </c>
      <c r="E235" s="17" t="s">
        <v>15</v>
      </c>
      <c r="F235" s="19">
        <v>15</v>
      </c>
      <c r="G235" s="17" t="s">
        <v>23</v>
      </c>
      <c r="H235" s="17" t="s">
        <v>15</v>
      </c>
      <c r="I235" s="19">
        <v>30</v>
      </c>
      <c r="J235" s="17" t="s">
        <v>15</v>
      </c>
      <c r="K235" s="19">
        <v>20</v>
      </c>
      <c r="L235" s="19">
        <v>7</v>
      </c>
      <c r="M235" s="19">
        <v>58</v>
      </c>
    </row>
    <row r="236" spans="1:13" ht="16.5" customHeight="1" x14ac:dyDescent="0.3">
      <c r="A236" s="17">
        <v>3465</v>
      </c>
      <c r="B236" s="17" t="s">
        <v>249</v>
      </c>
      <c r="C236" s="17" t="s">
        <v>22</v>
      </c>
      <c r="D236" s="18">
        <v>45582</v>
      </c>
      <c r="E236" s="17" t="s">
        <v>19</v>
      </c>
      <c r="F236" s="19">
        <v>10</v>
      </c>
      <c r="G236" s="17" t="s">
        <v>16</v>
      </c>
      <c r="H236" s="17" t="s">
        <v>19</v>
      </c>
      <c r="I236" s="19">
        <v>0</v>
      </c>
      <c r="J236" s="17" t="s">
        <v>15</v>
      </c>
      <c r="K236" s="19">
        <v>20</v>
      </c>
      <c r="L236" s="19">
        <v>10</v>
      </c>
      <c r="M236" s="19">
        <v>20</v>
      </c>
    </row>
    <row r="237" spans="1:13" ht="16.5" customHeight="1" x14ac:dyDescent="0.3">
      <c r="A237" s="17">
        <v>3466</v>
      </c>
      <c r="B237" s="17" t="s">
        <v>250</v>
      </c>
      <c r="C237" s="17" t="s">
        <v>18</v>
      </c>
      <c r="D237" s="18">
        <v>45583</v>
      </c>
      <c r="E237" s="17" t="s">
        <v>15</v>
      </c>
      <c r="F237" s="19">
        <v>5</v>
      </c>
      <c r="G237" s="17" t="s">
        <v>20</v>
      </c>
      <c r="H237" s="17" t="s">
        <v>19</v>
      </c>
      <c r="I237" s="19">
        <v>0</v>
      </c>
      <c r="J237" s="17" t="s">
        <v>19</v>
      </c>
      <c r="K237" s="19">
        <v>0</v>
      </c>
      <c r="L237" s="19">
        <v>0</v>
      </c>
      <c r="M237" s="19">
        <v>5</v>
      </c>
    </row>
    <row r="238" spans="1:13" ht="16.5" customHeight="1" x14ac:dyDescent="0.3">
      <c r="A238" s="17">
        <v>3467</v>
      </c>
      <c r="B238" s="17" t="s">
        <v>251</v>
      </c>
      <c r="C238" s="17" t="s">
        <v>14</v>
      </c>
      <c r="D238" s="18">
        <v>45584</v>
      </c>
      <c r="E238" s="17" t="s">
        <v>19</v>
      </c>
      <c r="F238" s="19">
        <v>15</v>
      </c>
      <c r="G238" s="17" t="s">
        <v>16</v>
      </c>
      <c r="H238" s="17" t="s">
        <v>15</v>
      </c>
      <c r="I238" s="19">
        <v>30</v>
      </c>
      <c r="J238" s="17" t="s">
        <v>15</v>
      </c>
      <c r="K238" s="19">
        <v>20</v>
      </c>
      <c r="L238" s="19">
        <v>15</v>
      </c>
      <c r="M238" s="19">
        <v>50</v>
      </c>
    </row>
    <row r="239" spans="1:13" ht="16.5" customHeight="1" x14ac:dyDescent="0.3">
      <c r="A239" s="17">
        <v>3468</v>
      </c>
      <c r="B239" s="17" t="s">
        <v>252</v>
      </c>
      <c r="C239" s="17" t="s">
        <v>22</v>
      </c>
      <c r="D239" s="18">
        <v>45585</v>
      </c>
      <c r="E239" s="17" t="s">
        <v>15</v>
      </c>
      <c r="F239" s="19">
        <v>10</v>
      </c>
      <c r="G239" s="17" t="s">
        <v>23</v>
      </c>
      <c r="H239" s="17" t="s">
        <v>19</v>
      </c>
      <c r="I239" s="19">
        <v>0</v>
      </c>
      <c r="J239" s="17" t="s">
        <v>15</v>
      </c>
      <c r="K239" s="19">
        <v>20</v>
      </c>
      <c r="L239" s="19">
        <v>12</v>
      </c>
      <c r="M239" s="19">
        <v>18</v>
      </c>
    </row>
    <row r="240" spans="1:13" ht="16.5" customHeight="1" x14ac:dyDescent="0.3">
      <c r="A240" s="17">
        <v>3469</v>
      </c>
      <c r="B240" s="17" t="s">
        <v>253</v>
      </c>
      <c r="C240" s="17" t="s">
        <v>18</v>
      </c>
      <c r="D240" s="18">
        <v>45586</v>
      </c>
      <c r="E240" s="17" t="s">
        <v>19</v>
      </c>
      <c r="F240" s="19">
        <v>5</v>
      </c>
      <c r="G240" s="17" t="s">
        <v>16</v>
      </c>
      <c r="H240" s="17" t="s">
        <v>19</v>
      </c>
      <c r="I240" s="19">
        <v>0</v>
      </c>
      <c r="J240" s="17" t="s">
        <v>19</v>
      </c>
      <c r="K240" s="19">
        <v>0</v>
      </c>
      <c r="L240" s="19">
        <v>2</v>
      </c>
      <c r="M240" s="19">
        <v>3</v>
      </c>
    </row>
    <row r="241" spans="1:13" ht="16.5" customHeight="1" x14ac:dyDescent="0.3">
      <c r="A241" s="17">
        <v>3470</v>
      </c>
      <c r="B241" s="17" t="s">
        <v>254</v>
      </c>
      <c r="C241" s="17" t="s">
        <v>14</v>
      </c>
      <c r="D241" s="18">
        <v>45587</v>
      </c>
      <c r="E241" s="17" t="s">
        <v>15</v>
      </c>
      <c r="F241" s="19">
        <v>15</v>
      </c>
      <c r="G241" s="17" t="s">
        <v>20</v>
      </c>
      <c r="H241" s="17" t="s">
        <v>15</v>
      </c>
      <c r="I241" s="19">
        <v>30</v>
      </c>
      <c r="J241" s="17" t="s">
        <v>15</v>
      </c>
      <c r="K241" s="19">
        <v>20</v>
      </c>
      <c r="L241" s="19">
        <v>5</v>
      </c>
      <c r="M241" s="19">
        <v>60</v>
      </c>
    </row>
    <row r="242" spans="1:13" ht="16.5" customHeight="1" x14ac:dyDescent="0.3">
      <c r="A242" s="17">
        <v>3471</v>
      </c>
      <c r="B242" s="17" t="s">
        <v>255</v>
      </c>
      <c r="C242" s="17" t="s">
        <v>22</v>
      </c>
      <c r="D242" s="18">
        <v>45588</v>
      </c>
      <c r="E242" s="17" t="s">
        <v>19</v>
      </c>
      <c r="F242" s="19">
        <v>10</v>
      </c>
      <c r="G242" s="17" t="s">
        <v>16</v>
      </c>
      <c r="H242" s="17" t="s">
        <v>19</v>
      </c>
      <c r="I242" s="19">
        <v>0</v>
      </c>
      <c r="J242" s="17" t="s">
        <v>15</v>
      </c>
      <c r="K242" s="19">
        <v>20</v>
      </c>
      <c r="L242" s="19">
        <v>10</v>
      </c>
      <c r="M242" s="19">
        <v>20</v>
      </c>
    </row>
    <row r="243" spans="1:13" ht="16.5" customHeight="1" x14ac:dyDescent="0.3">
      <c r="A243" s="17">
        <v>3472</v>
      </c>
      <c r="B243" s="17" t="s">
        <v>256</v>
      </c>
      <c r="C243" s="17" t="s">
        <v>18</v>
      </c>
      <c r="D243" s="18">
        <v>45589</v>
      </c>
      <c r="E243" s="17" t="s">
        <v>15</v>
      </c>
      <c r="F243" s="19">
        <v>5</v>
      </c>
      <c r="G243" s="17" t="s">
        <v>23</v>
      </c>
      <c r="H243" s="17" t="s">
        <v>19</v>
      </c>
      <c r="I243" s="19">
        <v>0</v>
      </c>
      <c r="J243" s="17" t="s">
        <v>19</v>
      </c>
      <c r="K243" s="19">
        <v>0</v>
      </c>
      <c r="L243" s="19">
        <v>0</v>
      </c>
      <c r="M243" s="19">
        <v>5</v>
      </c>
    </row>
    <row r="244" spans="1:13" ht="16.5" customHeight="1" x14ac:dyDescent="0.3">
      <c r="A244" s="17">
        <v>3473</v>
      </c>
      <c r="B244" s="17" t="s">
        <v>165</v>
      </c>
      <c r="C244" s="17" t="s">
        <v>14</v>
      </c>
      <c r="D244" s="18">
        <v>45590</v>
      </c>
      <c r="E244" s="17" t="s">
        <v>19</v>
      </c>
      <c r="F244" s="19">
        <v>15</v>
      </c>
      <c r="G244" s="17" t="s">
        <v>16</v>
      </c>
      <c r="H244" s="17" t="s">
        <v>15</v>
      </c>
      <c r="I244" s="19">
        <v>30</v>
      </c>
      <c r="J244" s="17" t="s">
        <v>15</v>
      </c>
      <c r="K244" s="19">
        <v>20</v>
      </c>
      <c r="L244" s="19">
        <v>3</v>
      </c>
      <c r="M244" s="19">
        <v>62</v>
      </c>
    </row>
    <row r="245" spans="1:13" ht="16.5" customHeight="1" x14ac:dyDescent="0.3">
      <c r="A245" s="17">
        <v>3474</v>
      </c>
      <c r="B245" s="17" t="s">
        <v>257</v>
      </c>
      <c r="C245" s="17" t="s">
        <v>22</v>
      </c>
      <c r="D245" s="18">
        <v>45591</v>
      </c>
      <c r="E245" s="17" t="s">
        <v>15</v>
      </c>
      <c r="F245" s="19">
        <v>10</v>
      </c>
      <c r="G245" s="17" t="s">
        <v>20</v>
      </c>
      <c r="H245" s="17" t="s">
        <v>19</v>
      </c>
      <c r="I245" s="19">
        <v>0</v>
      </c>
      <c r="J245" s="17" t="s">
        <v>15</v>
      </c>
      <c r="K245" s="19">
        <v>20</v>
      </c>
      <c r="L245" s="19">
        <v>15</v>
      </c>
      <c r="M245" s="19">
        <v>15</v>
      </c>
    </row>
    <row r="246" spans="1:13" ht="16.5" customHeight="1" x14ac:dyDescent="0.3">
      <c r="A246" s="17">
        <v>3475</v>
      </c>
      <c r="B246" s="17" t="s">
        <v>258</v>
      </c>
      <c r="C246" s="17" t="s">
        <v>18</v>
      </c>
      <c r="D246" s="18">
        <v>45592</v>
      </c>
      <c r="E246" s="17" t="s">
        <v>19</v>
      </c>
      <c r="F246" s="19">
        <v>5</v>
      </c>
      <c r="G246" s="17" t="s">
        <v>16</v>
      </c>
      <c r="H246" s="17" t="s">
        <v>19</v>
      </c>
      <c r="I246" s="19">
        <v>0</v>
      </c>
      <c r="J246" s="17" t="s">
        <v>19</v>
      </c>
      <c r="K246" s="19">
        <v>0</v>
      </c>
      <c r="L246" s="19">
        <v>1</v>
      </c>
      <c r="M246" s="19">
        <v>4</v>
      </c>
    </row>
    <row r="247" spans="1:13" ht="16.5" customHeight="1" x14ac:dyDescent="0.3">
      <c r="A247" s="17">
        <v>3476</v>
      </c>
      <c r="B247" s="17" t="s">
        <v>259</v>
      </c>
      <c r="C247" s="17" t="s">
        <v>14</v>
      </c>
      <c r="D247" s="18">
        <v>45593</v>
      </c>
      <c r="E247" s="17" t="s">
        <v>15</v>
      </c>
      <c r="F247" s="19">
        <v>15</v>
      </c>
      <c r="G247" s="17" t="s">
        <v>23</v>
      </c>
      <c r="H247" s="17" t="s">
        <v>15</v>
      </c>
      <c r="I247" s="19">
        <v>30</v>
      </c>
      <c r="J247" s="17" t="s">
        <v>15</v>
      </c>
      <c r="K247" s="19">
        <v>20</v>
      </c>
      <c r="L247" s="19">
        <v>7</v>
      </c>
      <c r="M247" s="19">
        <v>58</v>
      </c>
    </row>
    <row r="248" spans="1:13" ht="16.5" customHeight="1" x14ac:dyDescent="0.3">
      <c r="A248" s="17">
        <v>3477</v>
      </c>
      <c r="B248" s="17" t="s">
        <v>260</v>
      </c>
      <c r="C248" s="17" t="s">
        <v>22</v>
      </c>
      <c r="D248" s="18">
        <v>45594</v>
      </c>
      <c r="E248" s="17" t="s">
        <v>19</v>
      </c>
      <c r="F248" s="19">
        <v>10</v>
      </c>
      <c r="G248" s="17" t="s">
        <v>16</v>
      </c>
      <c r="H248" s="17" t="s">
        <v>19</v>
      </c>
      <c r="I248" s="19">
        <v>0</v>
      </c>
      <c r="J248" s="17" t="s">
        <v>15</v>
      </c>
      <c r="K248" s="19">
        <v>20</v>
      </c>
      <c r="L248" s="19">
        <v>10</v>
      </c>
      <c r="M248" s="19">
        <v>20</v>
      </c>
    </row>
    <row r="249" spans="1:13" ht="16.5" customHeight="1" x14ac:dyDescent="0.3">
      <c r="A249" s="17">
        <v>3478</v>
      </c>
      <c r="B249" s="17" t="s">
        <v>261</v>
      </c>
      <c r="C249" s="17" t="s">
        <v>18</v>
      </c>
      <c r="D249" s="18">
        <v>45595</v>
      </c>
      <c r="E249" s="17" t="s">
        <v>15</v>
      </c>
      <c r="F249" s="19">
        <v>5</v>
      </c>
      <c r="G249" s="17" t="s">
        <v>20</v>
      </c>
      <c r="H249" s="17" t="s">
        <v>19</v>
      </c>
      <c r="I249" s="19">
        <v>0</v>
      </c>
      <c r="J249" s="17" t="s">
        <v>19</v>
      </c>
      <c r="K249" s="19">
        <v>0</v>
      </c>
      <c r="L249" s="19">
        <v>0</v>
      </c>
      <c r="M249" s="19">
        <v>5</v>
      </c>
    </row>
    <row r="250" spans="1:13" ht="16.5" customHeight="1" x14ac:dyDescent="0.3">
      <c r="A250" s="17">
        <v>3479</v>
      </c>
      <c r="B250" s="17" t="s">
        <v>262</v>
      </c>
      <c r="C250" s="17" t="s">
        <v>14</v>
      </c>
      <c r="D250" s="18">
        <v>45596</v>
      </c>
      <c r="E250" s="17" t="s">
        <v>19</v>
      </c>
      <c r="F250" s="19">
        <v>15</v>
      </c>
      <c r="G250" s="17" t="s">
        <v>16</v>
      </c>
      <c r="H250" s="17" t="s">
        <v>15</v>
      </c>
      <c r="I250" s="19">
        <v>30</v>
      </c>
      <c r="J250" s="17" t="s">
        <v>15</v>
      </c>
      <c r="K250" s="19">
        <v>20</v>
      </c>
      <c r="L250" s="19">
        <v>20</v>
      </c>
      <c r="M250" s="19">
        <v>45</v>
      </c>
    </row>
    <row r="251" spans="1:13" ht="16.5" customHeight="1" x14ac:dyDescent="0.3">
      <c r="A251" s="17">
        <v>3480</v>
      </c>
      <c r="B251" s="17" t="s">
        <v>263</v>
      </c>
      <c r="C251" s="17" t="s">
        <v>22</v>
      </c>
      <c r="D251" s="18">
        <v>45597</v>
      </c>
      <c r="E251" s="17" t="s">
        <v>15</v>
      </c>
      <c r="F251" s="19">
        <v>10</v>
      </c>
      <c r="G251" s="17" t="s">
        <v>23</v>
      </c>
      <c r="H251" s="17" t="s">
        <v>19</v>
      </c>
      <c r="I251" s="19">
        <v>0</v>
      </c>
      <c r="J251" s="17" t="s">
        <v>15</v>
      </c>
      <c r="K251" s="19">
        <v>20</v>
      </c>
      <c r="L251" s="19">
        <v>15</v>
      </c>
      <c r="M251" s="19">
        <v>15</v>
      </c>
    </row>
    <row r="252" spans="1:13" ht="16.5" customHeight="1" x14ac:dyDescent="0.3">
      <c r="A252" s="17">
        <v>3481</v>
      </c>
      <c r="B252" s="17" t="s">
        <v>264</v>
      </c>
      <c r="C252" s="17" t="s">
        <v>18</v>
      </c>
      <c r="D252" s="18">
        <v>45598</v>
      </c>
      <c r="E252" s="17" t="s">
        <v>19</v>
      </c>
      <c r="F252" s="19">
        <v>5</v>
      </c>
      <c r="G252" s="17" t="s">
        <v>16</v>
      </c>
      <c r="H252" s="17" t="s">
        <v>19</v>
      </c>
      <c r="I252" s="19">
        <v>0</v>
      </c>
      <c r="J252" s="17" t="s">
        <v>19</v>
      </c>
      <c r="K252" s="19">
        <v>0</v>
      </c>
      <c r="L252" s="19">
        <v>1</v>
      </c>
      <c r="M252" s="19">
        <v>4</v>
      </c>
    </row>
    <row r="253" spans="1:13" ht="16.5" customHeight="1" x14ac:dyDescent="0.3">
      <c r="A253" s="17">
        <v>3482</v>
      </c>
      <c r="B253" s="17" t="s">
        <v>265</v>
      </c>
      <c r="C253" s="17" t="s">
        <v>14</v>
      </c>
      <c r="D253" s="18">
        <v>45599</v>
      </c>
      <c r="E253" s="17" t="s">
        <v>15</v>
      </c>
      <c r="F253" s="19">
        <v>15</v>
      </c>
      <c r="G253" s="17" t="s">
        <v>20</v>
      </c>
      <c r="H253" s="17" t="s">
        <v>15</v>
      </c>
      <c r="I253" s="19">
        <v>30</v>
      </c>
      <c r="J253" s="17" t="s">
        <v>15</v>
      </c>
      <c r="K253" s="19">
        <v>20</v>
      </c>
      <c r="L253" s="19">
        <v>3</v>
      </c>
      <c r="M253" s="19">
        <v>62</v>
      </c>
    </row>
    <row r="254" spans="1:13" ht="16.5" customHeight="1" x14ac:dyDescent="0.3">
      <c r="A254" s="17">
        <v>3483</v>
      </c>
      <c r="B254" s="17" t="s">
        <v>266</v>
      </c>
      <c r="C254" s="17" t="s">
        <v>22</v>
      </c>
      <c r="D254" s="18">
        <v>45600</v>
      </c>
      <c r="E254" s="17" t="s">
        <v>19</v>
      </c>
      <c r="F254" s="19">
        <v>10</v>
      </c>
      <c r="G254" s="17" t="s">
        <v>16</v>
      </c>
      <c r="H254" s="17" t="s">
        <v>19</v>
      </c>
      <c r="I254" s="19">
        <v>0</v>
      </c>
      <c r="J254" s="17" t="s">
        <v>15</v>
      </c>
      <c r="K254" s="19">
        <v>20</v>
      </c>
      <c r="L254" s="19">
        <v>10</v>
      </c>
      <c r="M254" s="19">
        <v>20</v>
      </c>
    </row>
    <row r="255" spans="1:13" ht="16.5" customHeight="1" x14ac:dyDescent="0.3">
      <c r="A255" s="17">
        <v>3484</v>
      </c>
      <c r="B255" s="17" t="s">
        <v>267</v>
      </c>
      <c r="C255" s="17" t="s">
        <v>18</v>
      </c>
      <c r="D255" s="18">
        <v>45601</v>
      </c>
      <c r="E255" s="17" t="s">
        <v>15</v>
      </c>
      <c r="F255" s="19">
        <v>5</v>
      </c>
      <c r="G255" s="17" t="s">
        <v>23</v>
      </c>
      <c r="H255" s="17" t="s">
        <v>19</v>
      </c>
      <c r="I255" s="19">
        <v>0</v>
      </c>
      <c r="J255" s="17" t="s">
        <v>19</v>
      </c>
      <c r="K255" s="19">
        <v>0</v>
      </c>
      <c r="L255" s="19">
        <v>0</v>
      </c>
      <c r="M255" s="19">
        <v>5</v>
      </c>
    </row>
    <row r="256" spans="1:13" ht="16.5" customHeight="1" x14ac:dyDescent="0.3">
      <c r="A256" s="17">
        <v>3485</v>
      </c>
      <c r="B256" s="17" t="s">
        <v>268</v>
      </c>
      <c r="C256" s="17" t="s">
        <v>14</v>
      </c>
      <c r="D256" s="18">
        <v>45602</v>
      </c>
      <c r="E256" s="17" t="s">
        <v>19</v>
      </c>
      <c r="F256" s="19">
        <v>15</v>
      </c>
      <c r="G256" s="17" t="s">
        <v>16</v>
      </c>
      <c r="H256" s="17" t="s">
        <v>15</v>
      </c>
      <c r="I256" s="19">
        <v>30</v>
      </c>
      <c r="J256" s="17" t="s">
        <v>15</v>
      </c>
      <c r="K256" s="19">
        <v>20</v>
      </c>
      <c r="L256" s="19">
        <v>15</v>
      </c>
      <c r="M256" s="19">
        <v>50</v>
      </c>
    </row>
    <row r="257" spans="1:13" ht="16.5" customHeight="1" x14ac:dyDescent="0.3">
      <c r="A257" s="17">
        <v>3486</v>
      </c>
      <c r="B257" s="17" t="s">
        <v>269</v>
      </c>
      <c r="C257" s="17" t="s">
        <v>18</v>
      </c>
      <c r="D257" s="18">
        <v>45603</v>
      </c>
      <c r="E257" s="17" t="s">
        <v>15</v>
      </c>
      <c r="F257" s="19">
        <v>5</v>
      </c>
      <c r="G257" s="17" t="s">
        <v>16</v>
      </c>
      <c r="H257" s="17" t="s">
        <v>19</v>
      </c>
      <c r="I257" s="19">
        <v>0</v>
      </c>
      <c r="J257" s="17" t="s">
        <v>19</v>
      </c>
      <c r="K257" s="19">
        <v>0</v>
      </c>
      <c r="L257" s="19">
        <v>0</v>
      </c>
      <c r="M257" s="19">
        <v>5</v>
      </c>
    </row>
    <row r="258" spans="1:13" ht="16.5" customHeight="1" x14ac:dyDescent="0.3">
      <c r="A258" s="17">
        <v>3487</v>
      </c>
      <c r="B258" s="17" t="s">
        <v>270</v>
      </c>
      <c r="C258" s="17" t="s">
        <v>14</v>
      </c>
      <c r="D258" s="18">
        <v>45604</v>
      </c>
      <c r="E258" s="17" t="s">
        <v>19</v>
      </c>
      <c r="F258" s="19">
        <v>15</v>
      </c>
      <c r="G258" s="17" t="s">
        <v>23</v>
      </c>
      <c r="H258" s="17" t="s">
        <v>15</v>
      </c>
      <c r="I258" s="19">
        <v>30</v>
      </c>
      <c r="J258" s="17" t="s">
        <v>15</v>
      </c>
      <c r="K258" s="19">
        <v>20</v>
      </c>
      <c r="L258" s="19">
        <v>7</v>
      </c>
      <c r="M258" s="19">
        <v>58</v>
      </c>
    </row>
    <row r="259" spans="1:13" ht="16.5" customHeight="1" x14ac:dyDescent="0.3">
      <c r="A259" s="17">
        <v>3488</v>
      </c>
      <c r="B259" s="17" t="s">
        <v>271</v>
      </c>
      <c r="C259" s="17" t="s">
        <v>22</v>
      </c>
      <c r="D259" s="18">
        <v>45605</v>
      </c>
      <c r="E259" s="17" t="s">
        <v>15</v>
      </c>
      <c r="F259" s="19">
        <v>10</v>
      </c>
      <c r="G259" s="17" t="s">
        <v>20</v>
      </c>
      <c r="H259" s="17" t="s">
        <v>19</v>
      </c>
      <c r="I259" s="19">
        <v>0</v>
      </c>
      <c r="J259" s="17" t="s">
        <v>15</v>
      </c>
      <c r="K259" s="19">
        <v>20</v>
      </c>
      <c r="L259" s="19">
        <v>10</v>
      </c>
      <c r="M259" s="19">
        <v>20</v>
      </c>
    </row>
    <row r="260" spans="1:13" ht="16.5" customHeight="1" x14ac:dyDescent="0.3">
      <c r="A260" s="17">
        <v>3489</v>
      </c>
      <c r="B260" s="17" t="s">
        <v>272</v>
      </c>
      <c r="C260" s="17" t="s">
        <v>18</v>
      </c>
      <c r="D260" s="18">
        <v>45606</v>
      </c>
      <c r="E260" s="17" t="s">
        <v>19</v>
      </c>
      <c r="F260" s="19">
        <v>5</v>
      </c>
      <c r="G260" s="17" t="s">
        <v>23</v>
      </c>
      <c r="H260" s="17" t="s">
        <v>19</v>
      </c>
      <c r="I260" s="19">
        <v>0</v>
      </c>
      <c r="J260" s="17" t="s">
        <v>19</v>
      </c>
      <c r="K260" s="19">
        <v>0</v>
      </c>
      <c r="L260" s="19">
        <v>1</v>
      </c>
      <c r="M260" s="19">
        <v>4</v>
      </c>
    </row>
    <row r="261" spans="1:13" ht="16.5" customHeight="1" x14ac:dyDescent="0.3">
      <c r="A261" s="17">
        <v>3490</v>
      </c>
      <c r="B261" s="17" t="s">
        <v>273</v>
      </c>
      <c r="C261" s="17" t="s">
        <v>14</v>
      </c>
      <c r="D261" s="18">
        <v>45607</v>
      </c>
      <c r="E261" s="17" t="s">
        <v>15</v>
      </c>
      <c r="F261" s="19">
        <v>15</v>
      </c>
      <c r="G261" s="17" t="s">
        <v>16</v>
      </c>
      <c r="H261" s="17" t="s">
        <v>15</v>
      </c>
      <c r="I261" s="19">
        <v>30</v>
      </c>
      <c r="J261" s="17" t="s">
        <v>15</v>
      </c>
      <c r="K261" s="19">
        <v>20</v>
      </c>
      <c r="L261" s="19">
        <v>15</v>
      </c>
      <c r="M261" s="19">
        <v>50</v>
      </c>
    </row>
    <row r="262" spans="1:13" ht="16.5" customHeight="1" x14ac:dyDescent="0.3">
      <c r="A262" s="17">
        <v>3491</v>
      </c>
      <c r="B262" s="17" t="s">
        <v>274</v>
      </c>
      <c r="C262" s="17" t="s">
        <v>22</v>
      </c>
      <c r="D262" s="18">
        <v>45608</v>
      </c>
      <c r="E262" s="17" t="s">
        <v>19</v>
      </c>
      <c r="F262" s="19">
        <v>10</v>
      </c>
      <c r="G262" s="17" t="s">
        <v>16</v>
      </c>
      <c r="H262" s="17" t="s">
        <v>19</v>
      </c>
      <c r="I262" s="19">
        <v>0</v>
      </c>
      <c r="J262" s="17" t="s">
        <v>15</v>
      </c>
      <c r="K262" s="19">
        <v>20</v>
      </c>
      <c r="L262" s="19">
        <v>5</v>
      </c>
      <c r="M262" s="19">
        <v>25</v>
      </c>
    </row>
    <row r="263" spans="1:13" ht="16.5" customHeight="1" x14ac:dyDescent="0.3">
      <c r="A263" s="17">
        <v>3492</v>
      </c>
      <c r="B263" s="17" t="s">
        <v>275</v>
      </c>
      <c r="C263" s="17" t="s">
        <v>18</v>
      </c>
      <c r="D263" s="18">
        <v>45609</v>
      </c>
      <c r="E263" s="17" t="s">
        <v>15</v>
      </c>
      <c r="F263" s="19">
        <v>5</v>
      </c>
      <c r="G263" s="17" t="s">
        <v>20</v>
      </c>
      <c r="H263" s="17" t="s">
        <v>19</v>
      </c>
      <c r="I263" s="19">
        <v>0</v>
      </c>
      <c r="J263" s="17" t="s">
        <v>19</v>
      </c>
      <c r="K263" s="19">
        <v>0</v>
      </c>
      <c r="L263" s="19">
        <v>0</v>
      </c>
      <c r="M263" s="19">
        <v>5</v>
      </c>
    </row>
    <row r="264" spans="1:13" ht="16.5" customHeight="1" x14ac:dyDescent="0.3">
      <c r="A264" s="17">
        <v>3493</v>
      </c>
      <c r="B264" s="17" t="s">
        <v>276</v>
      </c>
      <c r="C264" s="17" t="s">
        <v>14</v>
      </c>
      <c r="D264" s="18">
        <v>45610</v>
      </c>
      <c r="E264" s="17" t="s">
        <v>19</v>
      </c>
      <c r="F264" s="19">
        <v>15</v>
      </c>
      <c r="G264" s="17" t="s">
        <v>23</v>
      </c>
      <c r="H264" s="17" t="s">
        <v>15</v>
      </c>
      <c r="I264" s="19">
        <v>30</v>
      </c>
      <c r="J264" s="17" t="s">
        <v>15</v>
      </c>
      <c r="K264" s="19">
        <v>20</v>
      </c>
      <c r="L264" s="19">
        <v>20</v>
      </c>
      <c r="M264" s="19">
        <v>45</v>
      </c>
    </row>
    <row r="265" spans="1:13" ht="16.5" customHeight="1" x14ac:dyDescent="0.3">
      <c r="A265" s="17">
        <v>3494</v>
      </c>
      <c r="B265" s="17" t="s">
        <v>277</v>
      </c>
      <c r="C265" s="17" t="s">
        <v>22</v>
      </c>
      <c r="D265" s="18">
        <v>45611</v>
      </c>
      <c r="E265" s="17" t="s">
        <v>15</v>
      </c>
      <c r="F265" s="19">
        <v>10</v>
      </c>
      <c r="G265" s="17" t="s">
        <v>23</v>
      </c>
      <c r="H265" s="17" t="s">
        <v>19</v>
      </c>
      <c r="I265" s="19">
        <v>0</v>
      </c>
      <c r="J265" s="17" t="s">
        <v>15</v>
      </c>
      <c r="K265" s="19">
        <v>20</v>
      </c>
      <c r="L265" s="19">
        <v>12</v>
      </c>
      <c r="M265" s="19">
        <v>18</v>
      </c>
    </row>
    <row r="266" spans="1:13" ht="16.5" customHeight="1" x14ac:dyDescent="0.3">
      <c r="A266" s="17">
        <v>3495</v>
      </c>
      <c r="B266" s="17" t="s">
        <v>278</v>
      </c>
      <c r="C266" s="17" t="s">
        <v>18</v>
      </c>
      <c r="D266" s="18">
        <v>45612</v>
      </c>
      <c r="E266" s="17" t="s">
        <v>19</v>
      </c>
      <c r="F266" s="19">
        <v>5</v>
      </c>
      <c r="G266" s="17" t="s">
        <v>16</v>
      </c>
      <c r="H266" s="17" t="s">
        <v>19</v>
      </c>
      <c r="I266" s="19">
        <v>0</v>
      </c>
      <c r="J266" s="17" t="s">
        <v>19</v>
      </c>
      <c r="K266" s="19">
        <v>0</v>
      </c>
      <c r="L266" s="19">
        <v>2</v>
      </c>
      <c r="M266" s="19">
        <v>3</v>
      </c>
    </row>
    <row r="267" spans="1:13" ht="16.5" customHeight="1" x14ac:dyDescent="0.3">
      <c r="A267" s="17">
        <v>3496</v>
      </c>
      <c r="B267" s="17" t="s">
        <v>279</v>
      </c>
      <c r="C267" s="17" t="s">
        <v>14</v>
      </c>
      <c r="D267" s="18">
        <v>45613</v>
      </c>
      <c r="E267" s="17" t="s">
        <v>15</v>
      </c>
      <c r="F267" s="19">
        <v>15</v>
      </c>
      <c r="G267" s="17" t="s">
        <v>20</v>
      </c>
      <c r="H267" s="17" t="s">
        <v>15</v>
      </c>
      <c r="I267" s="19">
        <v>30</v>
      </c>
      <c r="J267" s="17" t="s">
        <v>15</v>
      </c>
      <c r="K267" s="19">
        <v>20</v>
      </c>
      <c r="L267" s="19">
        <v>5</v>
      </c>
      <c r="M267" s="19">
        <v>60</v>
      </c>
    </row>
    <row r="268" spans="1:13" ht="16.5" customHeight="1" x14ac:dyDescent="0.3">
      <c r="A268" s="17">
        <v>3497</v>
      </c>
      <c r="B268" s="17" t="s">
        <v>280</v>
      </c>
      <c r="C268" s="17" t="s">
        <v>22</v>
      </c>
      <c r="D268" s="18">
        <v>45614</v>
      </c>
      <c r="E268" s="17" t="s">
        <v>19</v>
      </c>
      <c r="F268" s="19">
        <v>10</v>
      </c>
      <c r="G268" s="17" t="s">
        <v>16</v>
      </c>
      <c r="H268" s="17" t="s">
        <v>19</v>
      </c>
      <c r="I268" s="19">
        <v>0</v>
      </c>
      <c r="J268" s="17" t="s">
        <v>15</v>
      </c>
      <c r="K268" s="19">
        <v>20</v>
      </c>
      <c r="L268" s="19">
        <v>10</v>
      </c>
      <c r="M268" s="19">
        <v>20</v>
      </c>
    </row>
    <row r="269" spans="1:13" ht="16.5" customHeight="1" x14ac:dyDescent="0.3">
      <c r="A269" s="17">
        <v>3498</v>
      </c>
      <c r="B269" s="17" t="s">
        <v>281</v>
      </c>
      <c r="C269" s="17" t="s">
        <v>18</v>
      </c>
      <c r="D269" s="18">
        <v>45615</v>
      </c>
      <c r="E269" s="17" t="s">
        <v>15</v>
      </c>
      <c r="F269" s="19">
        <v>5</v>
      </c>
      <c r="G269" s="17" t="s">
        <v>23</v>
      </c>
      <c r="H269" s="17" t="s">
        <v>19</v>
      </c>
      <c r="I269" s="19">
        <v>0</v>
      </c>
      <c r="J269" s="17" t="s">
        <v>19</v>
      </c>
      <c r="K269" s="19">
        <v>0</v>
      </c>
      <c r="L269" s="19">
        <v>0</v>
      </c>
      <c r="M269" s="19">
        <v>5</v>
      </c>
    </row>
    <row r="270" spans="1:13" ht="16.5" customHeight="1" x14ac:dyDescent="0.3">
      <c r="A270" s="17">
        <v>3499</v>
      </c>
      <c r="B270" s="17" t="s">
        <v>282</v>
      </c>
      <c r="C270" s="17" t="s">
        <v>14</v>
      </c>
      <c r="D270" s="18">
        <v>45616</v>
      </c>
      <c r="E270" s="17" t="s">
        <v>19</v>
      </c>
      <c r="F270" s="19">
        <v>15</v>
      </c>
      <c r="G270" s="17" t="s">
        <v>16</v>
      </c>
      <c r="H270" s="17" t="s">
        <v>15</v>
      </c>
      <c r="I270" s="19">
        <v>30</v>
      </c>
      <c r="J270" s="17" t="s">
        <v>15</v>
      </c>
      <c r="K270" s="19">
        <v>20</v>
      </c>
      <c r="L270" s="19">
        <v>3</v>
      </c>
      <c r="M270" s="19">
        <v>62</v>
      </c>
    </row>
    <row r="271" spans="1:13" ht="16.5" customHeight="1" x14ac:dyDescent="0.3">
      <c r="A271" s="17">
        <v>3500</v>
      </c>
      <c r="B271" s="17" t="s">
        <v>283</v>
      </c>
      <c r="C271" s="17" t="s">
        <v>22</v>
      </c>
      <c r="D271" s="18">
        <v>45617</v>
      </c>
      <c r="E271" s="17" t="s">
        <v>15</v>
      </c>
      <c r="F271" s="19">
        <v>10</v>
      </c>
      <c r="G271" s="17" t="s">
        <v>20</v>
      </c>
      <c r="H271" s="17" t="s">
        <v>19</v>
      </c>
      <c r="I271" s="19">
        <v>0</v>
      </c>
      <c r="J271" s="17" t="s">
        <v>15</v>
      </c>
      <c r="K271" s="19">
        <v>20</v>
      </c>
      <c r="L271" s="19">
        <v>15</v>
      </c>
      <c r="M271" s="19">
        <v>15</v>
      </c>
    </row>
    <row r="272" spans="1:13" ht="16.5" customHeight="1" x14ac:dyDescent="0.3">
      <c r="A272" s="17">
        <v>3501</v>
      </c>
      <c r="B272" s="17" t="s">
        <v>284</v>
      </c>
      <c r="C272" s="17" t="s">
        <v>18</v>
      </c>
      <c r="D272" s="18">
        <v>45618</v>
      </c>
      <c r="E272" s="17" t="s">
        <v>19</v>
      </c>
      <c r="F272" s="19">
        <v>5</v>
      </c>
      <c r="G272" s="17" t="s">
        <v>16</v>
      </c>
      <c r="H272" s="17" t="s">
        <v>19</v>
      </c>
      <c r="I272" s="19">
        <v>0</v>
      </c>
      <c r="J272" s="17" t="s">
        <v>19</v>
      </c>
      <c r="K272" s="19">
        <v>0</v>
      </c>
      <c r="L272" s="19">
        <v>1</v>
      </c>
      <c r="M272" s="19">
        <v>4</v>
      </c>
    </row>
    <row r="273" spans="1:13" ht="16.5" customHeight="1" x14ac:dyDescent="0.3">
      <c r="A273" s="17">
        <v>3502</v>
      </c>
      <c r="B273" s="17" t="s">
        <v>285</v>
      </c>
      <c r="C273" s="17" t="s">
        <v>14</v>
      </c>
      <c r="D273" s="18">
        <v>45619</v>
      </c>
      <c r="E273" s="17" t="s">
        <v>15</v>
      </c>
      <c r="F273" s="19">
        <v>15</v>
      </c>
      <c r="G273" s="17" t="s">
        <v>23</v>
      </c>
      <c r="H273" s="17" t="s">
        <v>15</v>
      </c>
      <c r="I273" s="19">
        <v>30</v>
      </c>
      <c r="J273" s="17" t="s">
        <v>15</v>
      </c>
      <c r="K273" s="19">
        <v>20</v>
      </c>
      <c r="L273" s="19">
        <v>7</v>
      </c>
      <c r="M273" s="19">
        <v>58</v>
      </c>
    </row>
    <row r="274" spans="1:13" ht="16.5" customHeight="1" x14ac:dyDescent="0.3">
      <c r="A274" s="17">
        <v>3503</v>
      </c>
      <c r="B274" s="17" t="s">
        <v>144</v>
      </c>
      <c r="C274" s="17" t="s">
        <v>22</v>
      </c>
      <c r="D274" s="18">
        <v>45620</v>
      </c>
      <c r="E274" s="17" t="s">
        <v>19</v>
      </c>
      <c r="F274" s="19">
        <v>10</v>
      </c>
      <c r="G274" s="17" t="s">
        <v>16</v>
      </c>
      <c r="H274" s="17" t="s">
        <v>19</v>
      </c>
      <c r="I274" s="19">
        <v>0</v>
      </c>
      <c r="J274" s="17" t="s">
        <v>15</v>
      </c>
      <c r="K274" s="19">
        <v>20</v>
      </c>
      <c r="L274" s="19">
        <v>10</v>
      </c>
      <c r="M274" s="19">
        <v>20</v>
      </c>
    </row>
    <row r="275" spans="1:13" ht="16.5" customHeight="1" x14ac:dyDescent="0.3">
      <c r="A275" s="17">
        <v>3504</v>
      </c>
      <c r="B275" s="17" t="s">
        <v>286</v>
      </c>
      <c r="C275" s="17" t="s">
        <v>18</v>
      </c>
      <c r="D275" s="18">
        <v>45621</v>
      </c>
      <c r="E275" s="17" t="s">
        <v>15</v>
      </c>
      <c r="F275" s="19">
        <v>5</v>
      </c>
      <c r="G275" s="17" t="s">
        <v>20</v>
      </c>
      <c r="H275" s="17" t="s">
        <v>19</v>
      </c>
      <c r="I275" s="19">
        <v>0</v>
      </c>
      <c r="J275" s="17" t="s">
        <v>19</v>
      </c>
      <c r="K275" s="19">
        <v>0</v>
      </c>
      <c r="L275" s="19">
        <v>0</v>
      </c>
      <c r="M275" s="19">
        <v>5</v>
      </c>
    </row>
    <row r="276" spans="1:13" ht="16.5" customHeight="1" x14ac:dyDescent="0.3">
      <c r="A276" s="17">
        <v>3505</v>
      </c>
      <c r="B276" s="17" t="s">
        <v>287</v>
      </c>
      <c r="C276" s="17" t="s">
        <v>14</v>
      </c>
      <c r="D276" s="18">
        <v>45622</v>
      </c>
      <c r="E276" s="17" t="s">
        <v>19</v>
      </c>
      <c r="F276" s="19">
        <v>15</v>
      </c>
      <c r="G276" s="17" t="s">
        <v>16</v>
      </c>
      <c r="H276" s="17" t="s">
        <v>15</v>
      </c>
      <c r="I276" s="19">
        <v>30</v>
      </c>
      <c r="J276" s="17" t="s">
        <v>15</v>
      </c>
      <c r="K276" s="19">
        <v>20</v>
      </c>
      <c r="L276" s="19">
        <v>20</v>
      </c>
      <c r="M276" s="19">
        <v>45</v>
      </c>
    </row>
    <row r="277" spans="1:13" ht="16.5" customHeight="1" x14ac:dyDescent="0.3">
      <c r="A277" s="17">
        <v>3506</v>
      </c>
      <c r="B277" s="17" t="s">
        <v>288</v>
      </c>
      <c r="C277" s="17" t="s">
        <v>22</v>
      </c>
      <c r="D277" s="18">
        <v>45623</v>
      </c>
      <c r="E277" s="17" t="s">
        <v>15</v>
      </c>
      <c r="F277" s="19">
        <v>10</v>
      </c>
      <c r="G277" s="17" t="s">
        <v>23</v>
      </c>
      <c r="H277" s="17" t="s">
        <v>19</v>
      </c>
      <c r="I277" s="19">
        <v>0</v>
      </c>
      <c r="J277" s="17" t="s">
        <v>15</v>
      </c>
      <c r="K277" s="19">
        <v>20</v>
      </c>
      <c r="L277" s="19">
        <v>15</v>
      </c>
      <c r="M277" s="19">
        <v>15</v>
      </c>
    </row>
    <row r="278" spans="1:13" ht="16.5" customHeight="1" x14ac:dyDescent="0.3">
      <c r="A278" s="17">
        <v>3507</v>
      </c>
      <c r="B278" s="17" t="s">
        <v>289</v>
      </c>
      <c r="C278" s="17" t="s">
        <v>18</v>
      </c>
      <c r="D278" s="18">
        <v>45624</v>
      </c>
      <c r="E278" s="17" t="s">
        <v>19</v>
      </c>
      <c r="F278" s="19">
        <v>5</v>
      </c>
      <c r="G278" s="17" t="s">
        <v>16</v>
      </c>
      <c r="H278" s="17" t="s">
        <v>19</v>
      </c>
      <c r="I278" s="19">
        <v>0</v>
      </c>
      <c r="J278" s="17" t="s">
        <v>19</v>
      </c>
      <c r="K278" s="19">
        <v>0</v>
      </c>
      <c r="L278" s="19">
        <v>1</v>
      </c>
      <c r="M278" s="19">
        <v>4</v>
      </c>
    </row>
    <row r="279" spans="1:13" ht="16.5" customHeight="1" x14ac:dyDescent="0.3">
      <c r="A279" s="17">
        <v>3508</v>
      </c>
      <c r="B279" s="17" t="s">
        <v>290</v>
      </c>
      <c r="C279" s="17" t="s">
        <v>14</v>
      </c>
      <c r="D279" s="18">
        <v>45625</v>
      </c>
      <c r="E279" s="17" t="s">
        <v>15</v>
      </c>
      <c r="F279" s="19">
        <v>15</v>
      </c>
      <c r="G279" s="17" t="s">
        <v>20</v>
      </c>
      <c r="H279" s="17" t="s">
        <v>15</v>
      </c>
      <c r="I279" s="19">
        <v>30</v>
      </c>
      <c r="J279" s="17" t="s">
        <v>15</v>
      </c>
      <c r="K279" s="19">
        <v>20</v>
      </c>
      <c r="L279" s="19">
        <v>3</v>
      </c>
      <c r="M279" s="19">
        <v>62</v>
      </c>
    </row>
    <row r="280" spans="1:13" ht="16.5" customHeight="1" x14ac:dyDescent="0.3">
      <c r="A280" s="17">
        <v>3509</v>
      </c>
      <c r="B280" s="17" t="s">
        <v>291</v>
      </c>
      <c r="C280" s="17" t="s">
        <v>22</v>
      </c>
      <c r="D280" s="18">
        <v>45626</v>
      </c>
      <c r="E280" s="17" t="s">
        <v>19</v>
      </c>
      <c r="F280" s="19">
        <v>10</v>
      </c>
      <c r="G280" s="17" t="s">
        <v>16</v>
      </c>
      <c r="H280" s="17" t="s">
        <v>19</v>
      </c>
      <c r="I280" s="19">
        <v>0</v>
      </c>
      <c r="J280" s="17" t="s">
        <v>15</v>
      </c>
      <c r="K280" s="19">
        <v>20</v>
      </c>
      <c r="L280" s="19">
        <v>10</v>
      </c>
      <c r="M280" s="19">
        <v>20</v>
      </c>
    </row>
    <row r="281" spans="1:13" ht="16.5" customHeight="1" x14ac:dyDescent="0.3">
      <c r="A281" s="17">
        <v>3510</v>
      </c>
      <c r="B281" s="17" t="s">
        <v>292</v>
      </c>
      <c r="C281" s="17" t="s">
        <v>18</v>
      </c>
      <c r="D281" s="18">
        <v>45627</v>
      </c>
      <c r="E281" s="17" t="s">
        <v>15</v>
      </c>
      <c r="F281" s="19">
        <v>5</v>
      </c>
      <c r="G281" s="17" t="s">
        <v>23</v>
      </c>
      <c r="H281" s="17" t="s">
        <v>19</v>
      </c>
      <c r="I281" s="19">
        <v>0</v>
      </c>
      <c r="J281" s="17" t="s">
        <v>19</v>
      </c>
      <c r="K281" s="19">
        <v>0</v>
      </c>
      <c r="L281" s="19">
        <v>0</v>
      </c>
      <c r="M281" s="19">
        <v>5</v>
      </c>
    </row>
    <row r="282" spans="1:13" ht="16.5" customHeight="1" x14ac:dyDescent="0.3">
      <c r="A282" s="17">
        <v>3511</v>
      </c>
      <c r="B282" s="17" t="s">
        <v>293</v>
      </c>
      <c r="C282" s="17" t="s">
        <v>14</v>
      </c>
      <c r="D282" s="18">
        <v>45628</v>
      </c>
      <c r="E282" s="17" t="s">
        <v>19</v>
      </c>
      <c r="F282" s="19">
        <v>15</v>
      </c>
      <c r="G282" s="17" t="s">
        <v>16</v>
      </c>
      <c r="H282" s="17" t="s">
        <v>15</v>
      </c>
      <c r="I282" s="19">
        <v>30</v>
      </c>
      <c r="J282" s="17" t="s">
        <v>15</v>
      </c>
      <c r="K282" s="19">
        <v>20</v>
      </c>
      <c r="L282" s="19">
        <v>15</v>
      </c>
      <c r="M282" s="19">
        <v>50</v>
      </c>
    </row>
    <row r="283" spans="1:13" ht="16.5" customHeight="1" x14ac:dyDescent="0.3">
      <c r="A283" s="17">
        <v>3512</v>
      </c>
      <c r="B283" s="17" t="s">
        <v>294</v>
      </c>
      <c r="C283" s="17" t="s">
        <v>22</v>
      </c>
      <c r="D283" s="18">
        <v>45629</v>
      </c>
      <c r="E283" s="17" t="s">
        <v>15</v>
      </c>
      <c r="F283" s="19">
        <v>10</v>
      </c>
      <c r="G283" s="17" t="s">
        <v>20</v>
      </c>
      <c r="H283" s="17" t="s">
        <v>19</v>
      </c>
      <c r="I283" s="19">
        <v>0</v>
      </c>
      <c r="J283" s="17" t="s">
        <v>15</v>
      </c>
      <c r="K283" s="19">
        <v>20</v>
      </c>
      <c r="L283" s="19">
        <v>15</v>
      </c>
      <c r="M283" s="19">
        <v>15</v>
      </c>
    </row>
    <row r="284" spans="1:13" ht="16.5" customHeight="1" x14ac:dyDescent="0.3">
      <c r="A284" s="17">
        <v>3513</v>
      </c>
      <c r="B284" s="17" t="s">
        <v>295</v>
      </c>
      <c r="C284" s="17" t="s">
        <v>18</v>
      </c>
      <c r="D284" s="18">
        <v>45630</v>
      </c>
      <c r="E284" s="17" t="s">
        <v>19</v>
      </c>
      <c r="F284" s="19">
        <v>5</v>
      </c>
      <c r="G284" s="17" t="s">
        <v>16</v>
      </c>
      <c r="H284" s="17" t="s">
        <v>19</v>
      </c>
      <c r="I284" s="19">
        <v>0</v>
      </c>
      <c r="J284" s="17" t="s">
        <v>19</v>
      </c>
      <c r="K284" s="19">
        <v>0</v>
      </c>
      <c r="L284" s="19">
        <v>1</v>
      </c>
      <c r="M284" s="19">
        <v>4</v>
      </c>
    </row>
    <row r="285" spans="1:13" ht="16.5" customHeight="1" x14ac:dyDescent="0.3">
      <c r="A285" s="17">
        <v>3514</v>
      </c>
      <c r="B285" s="17" t="s">
        <v>296</v>
      </c>
      <c r="C285" s="17" t="s">
        <v>14</v>
      </c>
      <c r="D285" s="18">
        <v>45631</v>
      </c>
      <c r="E285" s="17" t="s">
        <v>15</v>
      </c>
      <c r="F285" s="19">
        <v>15</v>
      </c>
      <c r="G285" s="17" t="s">
        <v>23</v>
      </c>
      <c r="H285" s="17" t="s">
        <v>15</v>
      </c>
      <c r="I285" s="19">
        <v>30</v>
      </c>
      <c r="J285" s="17" t="s">
        <v>15</v>
      </c>
      <c r="K285" s="19">
        <v>20</v>
      </c>
      <c r="L285" s="19">
        <v>7</v>
      </c>
      <c r="M285" s="19">
        <v>58</v>
      </c>
    </row>
    <row r="286" spans="1:13" ht="16.5" customHeight="1" x14ac:dyDescent="0.3">
      <c r="A286" s="17">
        <v>3515</v>
      </c>
      <c r="B286" s="17" t="s">
        <v>155</v>
      </c>
      <c r="C286" s="17" t="s">
        <v>22</v>
      </c>
      <c r="D286" s="18">
        <v>45632</v>
      </c>
      <c r="E286" s="17" t="s">
        <v>19</v>
      </c>
      <c r="F286" s="19">
        <v>10</v>
      </c>
      <c r="G286" s="17" t="s">
        <v>16</v>
      </c>
      <c r="H286" s="17" t="s">
        <v>19</v>
      </c>
      <c r="I286" s="19">
        <v>0</v>
      </c>
      <c r="J286" s="17" t="s">
        <v>15</v>
      </c>
      <c r="K286" s="19">
        <v>20</v>
      </c>
      <c r="L286" s="19">
        <v>10</v>
      </c>
      <c r="M286" s="19">
        <v>20</v>
      </c>
    </row>
    <row r="287" spans="1:13" ht="16.5" customHeight="1" x14ac:dyDescent="0.3">
      <c r="A287" s="17">
        <v>3516</v>
      </c>
      <c r="B287" s="17" t="s">
        <v>156</v>
      </c>
      <c r="C287" s="17" t="s">
        <v>18</v>
      </c>
      <c r="D287" s="18">
        <v>45633</v>
      </c>
      <c r="E287" s="17" t="s">
        <v>15</v>
      </c>
      <c r="F287" s="19">
        <v>5</v>
      </c>
      <c r="G287" s="17" t="s">
        <v>20</v>
      </c>
      <c r="H287" s="17" t="s">
        <v>19</v>
      </c>
      <c r="I287" s="19">
        <v>0</v>
      </c>
      <c r="J287" s="17" t="s">
        <v>19</v>
      </c>
      <c r="K287" s="19">
        <v>0</v>
      </c>
      <c r="L287" s="19">
        <v>0</v>
      </c>
      <c r="M287" s="19">
        <v>5</v>
      </c>
    </row>
    <row r="288" spans="1:13" ht="16.5" customHeight="1" x14ac:dyDescent="0.3">
      <c r="A288" s="17">
        <v>3517</v>
      </c>
      <c r="B288" s="17" t="s">
        <v>206</v>
      </c>
      <c r="C288" s="17" t="s">
        <v>14</v>
      </c>
      <c r="D288" s="18">
        <v>45634</v>
      </c>
      <c r="E288" s="17" t="s">
        <v>19</v>
      </c>
      <c r="F288" s="19">
        <v>15</v>
      </c>
      <c r="G288" s="17" t="s">
        <v>16</v>
      </c>
      <c r="H288" s="17" t="s">
        <v>15</v>
      </c>
      <c r="I288" s="19">
        <v>30</v>
      </c>
      <c r="J288" s="17" t="s">
        <v>15</v>
      </c>
      <c r="K288" s="19">
        <v>20</v>
      </c>
      <c r="L288" s="19">
        <v>20</v>
      </c>
      <c r="M288" s="19">
        <v>45</v>
      </c>
    </row>
    <row r="289" spans="1:13" ht="16.5" customHeight="1" x14ac:dyDescent="0.3">
      <c r="A289" s="17">
        <v>3518</v>
      </c>
      <c r="B289" s="17" t="s">
        <v>297</v>
      </c>
      <c r="C289" s="17" t="s">
        <v>22</v>
      </c>
      <c r="D289" s="18">
        <v>45635</v>
      </c>
      <c r="E289" s="17" t="s">
        <v>15</v>
      </c>
      <c r="F289" s="19">
        <v>10</v>
      </c>
      <c r="G289" s="17" t="s">
        <v>23</v>
      </c>
      <c r="H289" s="17" t="s">
        <v>19</v>
      </c>
      <c r="I289" s="19">
        <v>0</v>
      </c>
      <c r="J289" s="17" t="s">
        <v>15</v>
      </c>
      <c r="K289" s="19">
        <v>20</v>
      </c>
      <c r="L289" s="19">
        <v>12</v>
      </c>
      <c r="M289" s="19">
        <v>18</v>
      </c>
    </row>
    <row r="290" spans="1:13" ht="16.5" customHeight="1" x14ac:dyDescent="0.3">
      <c r="A290" s="17">
        <v>3519</v>
      </c>
      <c r="B290" s="17" t="s">
        <v>298</v>
      </c>
      <c r="C290" s="17" t="s">
        <v>18</v>
      </c>
      <c r="D290" s="18">
        <v>45636</v>
      </c>
      <c r="E290" s="17" t="s">
        <v>19</v>
      </c>
      <c r="F290" s="19">
        <v>5</v>
      </c>
      <c r="G290" s="17" t="s">
        <v>16</v>
      </c>
      <c r="H290" s="17" t="s">
        <v>19</v>
      </c>
      <c r="I290" s="19">
        <v>0</v>
      </c>
      <c r="J290" s="17" t="s">
        <v>19</v>
      </c>
      <c r="K290" s="19">
        <v>0</v>
      </c>
      <c r="L290" s="19">
        <v>2</v>
      </c>
      <c r="M290" s="19">
        <v>3</v>
      </c>
    </row>
    <row r="291" spans="1:13" ht="16.5" customHeight="1" x14ac:dyDescent="0.3">
      <c r="A291" s="17">
        <v>3520</v>
      </c>
      <c r="B291" s="17" t="s">
        <v>299</v>
      </c>
      <c r="C291" s="17" t="s">
        <v>14</v>
      </c>
      <c r="D291" s="18">
        <v>45637</v>
      </c>
      <c r="E291" s="17" t="s">
        <v>15</v>
      </c>
      <c r="F291" s="19">
        <v>15</v>
      </c>
      <c r="G291" s="17" t="s">
        <v>20</v>
      </c>
      <c r="H291" s="17" t="s">
        <v>15</v>
      </c>
      <c r="I291" s="19">
        <v>30</v>
      </c>
      <c r="J291" s="17" t="s">
        <v>15</v>
      </c>
      <c r="K291" s="19">
        <v>20</v>
      </c>
      <c r="L291" s="19">
        <v>5</v>
      </c>
      <c r="M291" s="19">
        <v>60</v>
      </c>
    </row>
    <row r="292" spans="1:13" ht="16.5" customHeight="1" x14ac:dyDescent="0.3">
      <c r="A292" s="17">
        <v>3521</v>
      </c>
      <c r="B292" s="17" t="s">
        <v>300</v>
      </c>
      <c r="C292" s="17" t="s">
        <v>22</v>
      </c>
      <c r="D292" s="18">
        <v>45638</v>
      </c>
      <c r="E292" s="17" t="s">
        <v>19</v>
      </c>
      <c r="F292" s="19">
        <v>10</v>
      </c>
      <c r="G292" s="17" t="s">
        <v>16</v>
      </c>
      <c r="H292" s="17" t="s">
        <v>19</v>
      </c>
      <c r="I292" s="19">
        <v>0</v>
      </c>
      <c r="J292" s="17" t="s">
        <v>15</v>
      </c>
      <c r="K292" s="19">
        <v>20</v>
      </c>
      <c r="L292" s="19">
        <v>10</v>
      </c>
      <c r="M292" s="19">
        <v>20</v>
      </c>
    </row>
    <row r="293" spans="1:13" ht="16.5" customHeight="1" x14ac:dyDescent="0.3">
      <c r="A293" s="17">
        <v>3522</v>
      </c>
      <c r="B293" s="17" t="s">
        <v>301</v>
      </c>
      <c r="C293" s="17" t="s">
        <v>18</v>
      </c>
      <c r="D293" s="18">
        <v>45639</v>
      </c>
      <c r="E293" s="17" t="s">
        <v>15</v>
      </c>
      <c r="F293" s="19">
        <v>5</v>
      </c>
      <c r="G293" s="17" t="s">
        <v>23</v>
      </c>
      <c r="H293" s="17" t="s">
        <v>19</v>
      </c>
      <c r="I293" s="19">
        <v>0</v>
      </c>
      <c r="J293" s="17" t="s">
        <v>19</v>
      </c>
      <c r="K293" s="19">
        <v>0</v>
      </c>
      <c r="L293" s="19">
        <v>0</v>
      </c>
      <c r="M293" s="19">
        <v>5</v>
      </c>
    </row>
    <row r="294" spans="1:13" ht="16.5" customHeight="1" x14ac:dyDescent="0.3">
      <c r="A294" s="17">
        <v>3523</v>
      </c>
      <c r="B294" s="17" t="s">
        <v>302</v>
      </c>
      <c r="C294" s="17" t="s">
        <v>14</v>
      </c>
      <c r="D294" s="18">
        <v>45640</v>
      </c>
      <c r="E294" s="17" t="s">
        <v>19</v>
      </c>
      <c r="F294" s="19">
        <v>15</v>
      </c>
      <c r="G294" s="17" t="s">
        <v>16</v>
      </c>
      <c r="H294" s="17" t="s">
        <v>15</v>
      </c>
      <c r="I294" s="19">
        <v>30</v>
      </c>
      <c r="J294" s="17" t="s">
        <v>15</v>
      </c>
      <c r="K294" s="19">
        <v>20</v>
      </c>
      <c r="L294" s="19">
        <v>3</v>
      </c>
      <c r="M294" s="19">
        <v>62</v>
      </c>
    </row>
    <row r="295" spans="1:13" ht="16.5" customHeight="1" x14ac:dyDescent="0.3">
      <c r="A295" s="17">
        <v>3524</v>
      </c>
      <c r="B295" s="17" t="s">
        <v>303</v>
      </c>
      <c r="C295" s="17" t="s">
        <v>22</v>
      </c>
      <c r="D295" s="18">
        <v>45641</v>
      </c>
      <c r="E295" s="17" t="s">
        <v>15</v>
      </c>
      <c r="F295" s="19">
        <v>10</v>
      </c>
      <c r="G295" s="17" t="s">
        <v>20</v>
      </c>
      <c r="H295" s="17" t="s">
        <v>19</v>
      </c>
      <c r="I295" s="19">
        <v>0</v>
      </c>
      <c r="J295" s="17" t="s">
        <v>15</v>
      </c>
      <c r="K295" s="19">
        <v>20</v>
      </c>
      <c r="L295" s="19">
        <v>15</v>
      </c>
      <c r="M295" s="19">
        <v>15</v>
      </c>
    </row>
    <row r="296" spans="1:13" ht="16.5" customHeight="1" x14ac:dyDescent="0.3">
      <c r="A296" s="17">
        <v>3525</v>
      </c>
      <c r="B296" s="17" t="s">
        <v>304</v>
      </c>
      <c r="C296" s="17" t="s">
        <v>18</v>
      </c>
      <c r="D296" s="18">
        <v>45642</v>
      </c>
      <c r="E296" s="17" t="s">
        <v>19</v>
      </c>
      <c r="F296" s="19">
        <v>5</v>
      </c>
      <c r="G296" s="17" t="s">
        <v>16</v>
      </c>
      <c r="H296" s="17" t="s">
        <v>19</v>
      </c>
      <c r="I296" s="19">
        <v>0</v>
      </c>
      <c r="J296" s="17" t="s">
        <v>19</v>
      </c>
      <c r="K296" s="19">
        <v>0</v>
      </c>
      <c r="L296" s="19">
        <v>1</v>
      </c>
      <c r="M296" s="19">
        <v>4</v>
      </c>
    </row>
  </sheetData>
  <sheetProtection selectLockedCells="1" sort="0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 codeName="Planilha2">
    <tabColor theme="6" tint="0.79998168889431442"/>
  </sheetPr>
  <dimension ref="B3:P21"/>
  <sheetViews>
    <sheetView showGridLines="0" showRowColHeaders="0" zoomScale="111" zoomScaleNormal="100" workbookViewId="0"/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11" t="s">
        <v>312</v>
      </c>
      <c r="C5" t="s">
        <v>4</v>
      </c>
      <c r="E5" s="4" t="s">
        <v>2</v>
      </c>
      <c r="F5" t="s">
        <v>3</v>
      </c>
    </row>
    <row r="6" spans="2:16" x14ac:dyDescent="0.3">
      <c r="B6" s="3" t="s">
        <v>313</v>
      </c>
      <c r="C6" t="s">
        <v>5</v>
      </c>
    </row>
    <row r="7" spans="2:16" x14ac:dyDescent="0.3">
      <c r="D7" s="12"/>
    </row>
    <row r="8" spans="2:16" x14ac:dyDescent="0.3">
      <c r="B8" s="14" t="s">
        <v>319</v>
      </c>
      <c r="C8" t="s">
        <v>322</v>
      </c>
      <c r="D8" s="12"/>
    </row>
    <row r="9" spans="2:16" x14ac:dyDescent="0.3">
      <c r="B9" s="16" t="s">
        <v>321</v>
      </c>
      <c r="C9" s="12"/>
    </row>
    <row r="10" spans="2:16" x14ac:dyDescent="0.3">
      <c r="B10" s="15" t="s">
        <v>320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6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sheetProtection selectLockedCells="1" selectUnlockedCells="1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 codeName="Planilha3">
    <tabColor theme="6" tint="0.79998168889431442"/>
  </sheetPr>
  <dimension ref="B4:J59"/>
  <sheetViews>
    <sheetView showGridLines="0" showRowColHeaders="0" zoomScale="92" workbookViewId="0">
      <selection activeCell="A2" sqref="A2"/>
    </sheetView>
  </sheetViews>
  <sheetFormatPr defaultRowHeight="14.4" x14ac:dyDescent="0.3"/>
  <cols>
    <col min="2" max="2" width="17.77734375" style="29" customWidth="1"/>
    <col min="3" max="3" width="32.21875" style="29" customWidth="1"/>
    <col min="4" max="4" width="13.21875" style="29" customWidth="1"/>
    <col min="5" max="5" width="27.88671875" style="29" customWidth="1"/>
    <col min="6" max="6" width="10.77734375" bestFit="1" customWidth="1"/>
    <col min="7" max="7" width="52.109375" customWidth="1"/>
    <col min="8" max="8" width="19.5546875" customWidth="1"/>
    <col min="9" max="9" width="11.44140625" bestFit="1" customWidth="1"/>
    <col min="10" max="10" width="27.33203125" bestFit="1" customWidth="1"/>
    <col min="11" max="11" width="5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4" spans="2:10" x14ac:dyDescent="0.3">
      <c r="B4" s="82" t="s">
        <v>361</v>
      </c>
      <c r="C4" s="82"/>
      <c r="D4" s="82"/>
      <c r="E4" s="82"/>
      <c r="F4" s="82"/>
    </row>
    <row r="7" spans="2:10" x14ac:dyDescent="0.3">
      <c r="B7" s="29" t="s">
        <v>318</v>
      </c>
    </row>
    <row r="8" spans="2:10" ht="19.8" x14ac:dyDescent="0.45">
      <c r="G8" s="37" t="s">
        <v>325</v>
      </c>
      <c r="H8" s="38"/>
      <c r="I8" s="38"/>
      <c r="J8" s="38"/>
    </row>
    <row r="9" spans="2:10" x14ac:dyDescent="0.3">
      <c r="B9" s="5" t="s">
        <v>12</v>
      </c>
      <c r="C9" t="s">
        <v>20</v>
      </c>
      <c r="G9" s="29"/>
      <c r="H9" s="29"/>
      <c r="I9" s="29"/>
      <c r="J9" s="29"/>
    </row>
    <row r="10" spans="2:10" ht="15" x14ac:dyDescent="0.3">
      <c r="G10" s="29"/>
      <c r="H10" s="29"/>
      <c r="I10" s="29"/>
      <c r="J10" s="39" t="s">
        <v>360</v>
      </c>
    </row>
    <row r="11" spans="2:10" ht="15" x14ac:dyDescent="0.35">
      <c r="B11" t="s">
        <v>310</v>
      </c>
      <c r="G11" s="36" t="s">
        <v>326</v>
      </c>
      <c r="H11" s="32" t="str">
        <f>C9</f>
        <v>Annual</v>
      </c>
      <c r="I11" s="29"/>
      <c r="J11" s="28" t="str">
        <f>C9</f>
        <v>Annual</v>
      </c>
    </row>
    <row r="12" spans="2:10" ht="15" x14ac:dyDescent="0.35">
      <c r="B12" s="7">
        <v>1754</v>
      </c>
      <c r="G12" s="36" t="s">
        <v>327</v>
      </c>
      <c r="H12" s="32">
        <f>IF(OR(H11="Annual",H11="Quarterly",H11="Monthly"),COUNTIFS(B̳ases!$G$2:$G$296,H11),COUNTA(B̳ases!$A$2:$A$296))</f>
        <v>71</v>
      </c>
      <c r="I12" s="29"/>
      <c r="J12" s="26"/>
    </row>
    <row r="13" spans="2:10" ht="15" x14ac:dyDescent="0.35">
      <c r="B13" s="6"/>
      <c r="C13" s="31"/>
      <c r="G13" s="36" t="s">
        <v>328</v>
      </c>
      <c r="H13" s="33">
        <f>C59</f>
        <v>1754</v>
      </c>
      <c r="I13" s="29"/>
      <c r="J13" s="26"/>
    </row>
    <row r="14" spans="2:10" ht="15" x14ac:dyDescent="0.35">
      <c r="G14" s="36" t="s">
        <v>329</v>
      </c>
      <c r="H14" s="33">
        <f>IFERROR(H13/H12,0)</f>
        <v>24.704225352112676</v>
      </c>
      <c r="I14" s="29"/>
      <c r="J14" s="28" t="str">
        <f>"R$ "&amp;FIXED(H14,2)</f>
        <v>R$ 24,70</v>
      </c>
    </row>
    <row r="15" spans="2:10" ht="15" x14ac:dyDescent="0.3">
      <c r="B15" s="29" t="s">
        <v>323</v>
      </c>
      <c r="G15" s="36" t="s">
        <v>330</v>
      </c>
      <c r="H15" s="34" t="str">
        <f>INDEX(B56:B58,MATCH(MAX(C56:C58),C56:C58,0))</f>
        <v>Ultimate</v>
      </c>
      <c r="I15" s="29"/>
      <c r="J15" s="28" t="str">
        <f>UPPER(H15)&amp;" - R$ "&amp;TEXT(H16,"0.000,00")&amp;" - "&amp;TEXT(H17*100,"0,00")&amp;"%"</f>
        <v>ULTIMATE - R$ 1.186,00 - 67,62%</v>
      </c>
    </row>
    <row r="16" spans="2:10" ht="16.8" customHeight="1" x14ac:dyDescent="0.35">
      <c r="G16" s="36" t="s">
        <v>331</v>
      </c>
      <c r="H16" s="33">
        <f>MAX(C56:C58)</f>
        <v>1186</v>
      </c>
      <c r="I16" s="29"/>
      <c r="J16" s="26"/>
    </row>
    <row r="17" spans="2:10" ht="15" x14ac:dyDescent="0.35">
      <c r="G17" s="36" t="s">
        <v>332</v>
      </c>
      <c r="H17" s="35">
        <f>IFERROR(H16/C59,0)</f>
        <v>0.67616875712656788</v>
      </c>
      <c r="I17" s="29"/>
      <c r="J17" s="25"/>
    </row>
    <row r="18" spans="2:10" x14ac:dyDescent="0.3">
      <c r="B18" s="5" t="s">
        <v>12</v>
      </c>
      <c r="C18" t="s">
        <v>20</v>
      </c>
      <c r="G18" s="21" t="s">
        <v>333</v>
      </c>
      <c r="H18" s="29"/>
      <c r="I18" s="29"/>
      <c r="J18" s="27"/>
    </row>
    <row r="20" spans="2:10" x14ac:dyDescent="0.3">
      <c r="B20" s="5" t="s">
        <v>308</v>
      </c>
      <c r="C20" t="s">
        <v>310</v>
      </c>
    </row>
    <row r="21" spans="2:10" x14ac:dyDescent="0.3">
      <c r="B21" s="6" t="s">
        <v>19</v>
      </c>
      <c r="C21" s="8">
        <v>217</v>
      </c>
    </row>
    <row r="22" spans="2:10" ht="15" x14ac:dyDescent="0.35">
      <c r="B22" s="6" t="s">
        <v>15</v>
      </c>
      <c r="C22" s="8">
        <v>1537</v>
      </c>
      <c r="G22" s="52" t="s">
        <v>362</v>
      </c>
      <c r="H22" s="45"/>
      <c r="I22" s="45"/>
      <c r="J22" s="45"/>
    </row>
    <row r="23" spans="2:10" ht="15" x14ac:dyDescent="0.3">
      <c r="B23" s="6" t="s">
        <v>309</v>
      </c>
      <c r="C23" s="8">
        <v>1754</v>
      </c>
      <c r="G23" s="46" t="s">
        <v>337</v>
      </c>
      <c r="H23" s="47" t="s">
        <v>20</v>
      </c>
      <c r="I23" s="47" t="s">
        <v>23</v>
      </c>
      <c r="J23" s="47" t="s">
        <v>16</v>
      </c>
    </row>
    <row r="24" spans="2:10" ht="15" x14ac:dyDescent="0.3">
      <c r="G24" s="46" t="s">
        <v>345</v>
      </c>
      <c r="H24" s="48">
        <f>COUNTIFS(B̳ases!$G$2:$G$296,H$23)</f>
        <v>71</v>
      </c>
      <c r="I24" s="48">
        <f>COUNTIFS(B̳ases!$G$2:$G$296,I$23)</f>
        <v>85</v>
      </c>
      <c r="J24" s="48">
        <f>COUNTIFS(B̳ases!$G$2:$G$296,J$23)</f>
        <v>139</v>
      </c>
    </row>
    <row r="25" spans="2:10" ht="15" x14ac:dyDescent="0.3">
      <c r="G25" s="46" t="s">
        <v>328</v>
      </c>
      <c r="H25" s="49">
        <f>SUMIFS(B̳ases!$M$2:$M$296,B̳ases!$G$2:$G$296,H$23)</f>
        <v>1754</v>
      </c>
      <c r="I25" s="49">
        <f>SUMIFS(B̳ases!$M$2:$M$296,B̳ases!$G$2:$G$296,I$23)</f>
        <v>2308</v>
      </c>
      <c r="J25" s="49">
        <f>SUMIFS(B̳ases!$M$2:$M$296,B̳ases!$G$2:$G$296,J$23)</f>
        <v>3571</v>
      </c>
    </row>
    <row r="26" spans="2:10" ht="15" x14ac:dyDescent="0.3">
      <c r="B26" s="6" t="s">
        <v>314</v>
      </c>
      <c r="G26" s="46" t="s">
        <v>329</v>
      </c>
      <c r="H26" s="49">
        <f>IFERROR(H25/H24,0)</f>
        <v>24.704225352112676</v>
      </c>
      <c r="I26" s="49">
        <f>IFERROR(I25/I24,0)</f>
        <v>27.152941176470588</v>
      </c>
      <c r="J26" s="49">
        <f>IFERROR(J25/J24,0)</f>
        <v>25.690647482014388</v>
      </c>
    </row>
    <row r="27" spans="2:10" ht="15" x14ac:dyDescent="0.3">
      <c r="B27" s="6"/>
      <c r="G27" s="46" t="s">
        <v>346</v>
      </c>
      <c r="H27" s="49">
        <f>SUMIFS(B̳ases!$M$2:$M$296,B̳ases!$G$2:$G$296,H$23,B̳ases!$E$2:$E$296,"Yes")</f>
        <v>1537</v>
      </c>
      <c r="I27" s="49">
        <f>SUMIFS(B̳ases!$M$2:$M$296,B̳ases!$G$2:$G$296,I$23,B̳ases!$E$2:$E$296,"Yes")</f>
        <v>1502</v>
      </c>
      <c r="J27" s="49">
        <f>SUMIFS(B̳ases!$M$2:$M$296,B̳ases!$G$2:$G$296,J$23,B̳ases!$E$2:$E$296,"Yes")</f>
        <v>747</v>
      </c>
    </row>
    <row r="28" spans="2:10" ht="15" x14ac:dyDescent="0.3">
      <c r="G28" s="46" t="s">
        <v>347</v>
      </c>
      <c r="H28" s="49">
        <f>SUMIFS(B̳ases!$K$2:$K$296,B̳ases!$G$2:$G$296,H$23)</f>
        <v>940</v>
      </c>
      <c r="I28" s="49">
        <f>SUMIFS(B̳ases!$K$2:$K$296,B̳ases!$G$2:$G$296,I$23)</f>
        <v>1140</v>
      </c>
      <c r="J28" s="49">
        <f>SUMIFS(B̳ases!$K$2:$K$296,B̳ases!$G$2:$G$296,J$23)</f>
        <v>1800</v>
      </c>
    </row>
    <row r="29" spans="2:10" ht="15" x14ac:dyDescent="0.3">
      <c r="B29" s="5" t="s">
        <v>12</v>
      </c>
      <c r="C29" t="s">
        <v>20</v>
      </c>
      <c r="G29" s="46" t="s">
        <v>348</v>
      </c>
      <c r="H29" s="49">
        <f>SUMIFS(B̳ases!$I$2:$I$296,B̳ases!$G$2:$G$296,H$23)</f>
        <v>600</v>
      </c>
      <c r="I29" s="49">
        <f>SUMIFS(B̳ases!$I$2:$I$296,B̳ases!$G$2:$G$296,I$23)</f>
        <v>990</v>
      </c>
      <c r="J29" s="49">
        <f>SUMIFS(B̳ases!$I$2:$I$296,B̳ases!$G$2:$G$296,J$23)</f>
        <v>1350</v>
      </c>
    </row>
    <row r="30" spans="2:10" ht="15" x14ac:dyDescent="0.3">
      <c r="G30" s="46" t="s">
        <v>349</v>
      </c>
      <c r="H30" s="49">
        <f>SUMIFS(B̳ases!$L$2:$L$296,B̳ases!$G$2:$G$296,H$23)</f>
        <v>476</v>
      </c>
      <c r="I30" s="49">
        <f>SUMIFS(B̳ases!$L$2:$L$296,B̳ases!$G$2:$G$296,I$23)</f>
        <v>697</v>
      </c>
      <c r="J30" s="49">
        <f>SUMIFS(B̳ases!$L$2:$L$296,B̳ases!$G$2:$G$296,J$23)</f>
        <v>949</v>
      </c>
    </row>
    <row r="31" spans="2:10" ht="15" x14ac:dyDescent="0.3">
      <c r="B31" s="5" t="s">
        <v>308</v>
      </c>
      <c r="C31" t="s">
        <v>324</v>
      </c>
      <c r="G31" s="46" t="s">
        <v>350</v>
      </c>
      <c r="H31" s="49">
        <f>H25+H30</f>
        <v>2230</v>
      </c>
      <c r="I31" s="49">
        <f>I25+I30</f>
        <v>3005</v>
      </c>
      <c r="J31" s="49">
        <f>J25+J30</f>
        <v>4520</v>
      </c>
    </row>
    <row r="32" spans="2:10" ht="15" x14ac:dyDescent="0.3">
      <c r="B32" s="6" t="s">
        <v>18</v>
      </c>
      <c r="C32" s="8">
        <v>0</v>
      </c>
      <c r="G32" s="46" t="s">
        <v>18</v>
      </c>
      <c r="H32" s="49">
        <f>SUMIFS(B̳ases!$M$2:$M$296,B̳ases!$G$2:$G$296,H$23,B̳ases!$C$2:$C$296,$G32)</f>
        <v>120</v>
      </c>
      <c r="I32" s="49">
        <f>SUMIFS(B̳ases!$M$2:$M$296,B̳ases!$G$2:$G$296,I$23,B̳ases!$C$2:$C$296,$G32)</f>
        <v>132</v>
      </c>
      <c r="J32" s="49">
        <f>SUMIFS(B̳ases!$M$2:$M$296,B̳ases!$G$2:$G$296,J$23,B̳ases!$C$2:$C$296,$G32)</f>
        <v>192</v>
      </c>
    </row>
    <row r="33" spans="2:10" ht="15" x14ac:dyDescent="0.3">
      <c r="B33" s="6" t="s">
        <v>22</v>
      </c>
      <c r="C33" s="8">
        <v>0</v>
      </c>
      <c r="G33" s="46" t="s">
        <v>22</v>
      </c>
      <c r="H33" s="49">
        <f>SUMIFS(B̳ases!$M$2:$M$296,B̳ases!$G$2:$G$296,H$23,B̳ases!$C$2:$C$296,$G33)</f>
        <v>448</v>
      </c>
      <c r="I33" s="49">
        <f>SUMIFS(B̳ases!$M$2:$M$296,B̳ases!$G$2:$G$296,I$23,B̳ases!$C$2:$C$296,$G33)</f>
        <v>395</v>
      </c>
      <c r="J33" s="49">
        <f>SUMIFS(B̳ases!$M$2:$M$296,B̳ases!$G$2:$G$296,J$23,B̳ases!$C$2:$C$296,$G33)</f>
        <v>958</v>
      </c>
    </row>
    <row r="34" spans="2:10" ht="15" x14ac:dyDescent="0.3">
      <c r="B34" s="6" t="s">
        <v>14</v>
      </c>
      <c r="C34" s="8">
        <v>600</v>
      </c>
      <c r="G34" s="46" t="s">
        <v>14</v>
      </c>
      <c r="H34" s="49">
        <f>SUMIFS(B̳ases!$M$2:$M$296,B̳ases!$G$2:$G$296,H$23,B̳ases!$C$2:$C$296,$G34)</f>
        <v>1186</v>
      </c>
      <c r="I34" s="49">
        <f>SUMIFS(B̳ases!$M$2:$M$296,B̳ases!$G$2:$G$296,I$23,B̳ases!$C$2:$C$296,$G34)</f>
        <v>1781</v>
      </c>
      <c r="J34" s="49">
        <f>SUMIFS(B̳ases!$M$2:$M$296,B̳ases!$G$2:$G$296,J$23,B̳ases!$C$2:$C$296,$G34)</f>
        <v>2421</v>
      </c>
    </row>
    <row r="35" spans="2:10" ht="15" x14ac:dyDescent="0.3">
      <c r="B35" s="6" t="s">
        <v>309</v>
      </c>
      <c r="C35" s="8">
        <v>600</v>
      </c>
      <c r="D35" s="30">
        <f>GETPIVOTDATA("EA Play Season Pass
Price",$B$31)</f>
        <v>600</v>
      </c>
      <c r="G35" s="46" t="s">
        <v>344</v>
      </c>
      <c r="H35" s="47" t="str">
        <f>INDEX($G$32:$G$34,MATCH(MAX(H32:H34),H32:H34,0))</f>
        <v>Ultimate</v>
      </c>
      <c r="I35" s="47" t="str">
        <f>INDEX($G$32:$G$34,MATCH(MAX(I32:I34),I32:I34,0))</f>
        <v>Ultimate</v>
      </c>
      <c r="J35" s="47" t="str">
        <f>INDEX($G$32:$G$34,MATCH(MAX(J32:J34),J32:J34,0))</f>
        <v>Ultimate</v>
      </c>
    </row>
    <row r="36" spans="2:10" ht="15" x14ac:dyDescent="0.3">
      <c r="G36" s="46" t="s">
        <v>351</v>
      </c>
      <c r="H36" s="49">
        <f>MAX(H32:H34)</f>
        <v>1186</v>
      </c>
      <c r="I36" s="49">
        <f>MAX(I32:I34)</f>
        <v>1781</v>
      </c>
      <c r="J36" s="49">
        <f>MAX(J32:J34)</f>
        <v>2421</v>
      </c>
    </row>
    <row r="37" spans="2:10" ht="15" x14ac:dyDescent="0.3">
      <c r="G37" s="46" t="s">
        <v>352</v>
      </c>
      <c r="H37" s="48">
        <f>COUNTIFS(B̳ases!$G$2:$G$296,H$23,B̳ases!$J$2:$J$296,"Yes")</f>
        <v>47</v>
      </c>
      <c r="I37" s="48">
        <f>COUNTIFS(B̳ases!$G$2:$G$296,I$23,B̳ases!$J$2:$J$296,"Yes")</f>
        <v>57</v>
      </c>
      <c r="J37" s="48">
        <f>COUNTIFS(B̳ases!$G$2:$G$296,J$23,B̳ases!$J$2:$J$296,"Yes")</f>
        <v>90</v>
      </c>
    </row>
    <row r="38" spans="2:10" ht="15" x14ac:dyDescent="0.3">
      <c r="B38" s="29" t="s">
        <v>315</v>
      </c>
      <c r="G38" s="46" t="s">
        <v>353</v>
      </c>
      <c r="H38" s="48">
        <f>COUNTIFS(B̳ases!$G$2:$G$296,H$23,B̳ases!$H$2:$H$296,"Yes")</f>
        <v>20</v>
      </c>
      <c r="I38" s="48">
        <f>COUNTIFS(B̳ases!$G$2:$G$296,I$23,B̳ases!$H$2:$H$296,"Yes")</f>
        <v>33</v>
      </c>
      <c r="J38" s="48">
        <f>COUNTIFS(B̳ases!$G$2:$G$296,J$23,B̳ases!$H$2:$H$296,"Yes")</f>
        <v>45</v>
      </c>
    </row>
    <row r="39" spans="2:10" ht="15" x14ac:dyDescent="0.3">
      <c r="G39" s="46" t="s">
        <v>354</v>
      </c>
      <c r="H39" s="50">
        <f>IFERROR(H27/H25,0)</f>
        <v>0.87628278221208666</v>
      </c>
      <c r="I39" s="50">
        <f>IFERROR(I27/I25,0)</f>
        <v>0.65077989601386477</v>
      </c>
      <c r="J39" s="50">
        <f>IFERROR(J27/J25,0)</f>
        <v>0.20918510221226547</v>
      </c>
    </row>
    <row r="40" spans="2:10" ht="15" x14ac:dyDescent="0.3">
      <c r="G40" s="46" t="s">
        <v>355</v>
      </c>
      <c r="H40" s="50">
        <f>IFERROR(H28/H25,0)</f>
        <v>0.53591790193842648</v>
      </c>
      <c r="I40" s="50">
        <f>IFERROR(I28/I25,0)</f>
        <v>0.49393414211438474</v>
      </c>
      <c r="J40" s="50">
        <f>IFERROR(J28/J25,0)</f>
        <v>0.50406048725847097</v>
      </c>
    </row>
    <row r="41" spans="2:10" ht="15" x14ac:dyDescent="0.3">
      <c r="B41" s="5" t="s">
        <v>12</v>
      </c>
      <c r="C41" t="s">
        <v>20</v>
      </c>
      <c r="G41" s="46" t="s">
        <v>356</v>
      </c>
      <c r="H41" s="50">
        <f>IFERROR(H29/H25,0)</f>
        <v>0.34207525655644244</v>
      </c>
      <c r="I41" s="50">
        <f>IFERROR(I29/I25,0)</f>
        <v>0.4289428076256499</v>
      </c>
      <c r="J41" s="50">
        <f>IFERROR(J29/J25,0)</f>
        <v>0.37804536544385325</v>
      </c>
    </row>
    <row r="42" spans="2:10" ht="15" x14ac:dyDescent="0.35">
      <c r="G42" s="45"/>
      <c r="H42" s="51"/>
      <c r="I42" s="51"/>
      <c r="J42" s="51"/>
    </row>
    <row r="43" spans="2:10" ht="15" x14ac:dyDescent="0.35">
      <c r="B43" s="5" t="s">
        <v>308</v>
      </c>
      <c r="C43" t="s">
        <v>311</v>
      </c>
      <c r="G43" s="46" t="s">
        <v>357</v>
      </c>
      <c r="H43" s="47" t="str">
        <f>IF(ISNUMBER(MATCH(C̳álculos!C53,$H$23:$J$23,0)),C̳álculos!C53,"Annual")</f>
        <v>Annual</v>
      </c>
      <c r="I43" s="51"/>
      <c r="J43" s="51"/>
    </row>
    <row r="44" spans="2:10" ht="15" x14ac:dyDescent="0.35">
      <c r="B44" s="6" t="s">
        <v>18</v>
      </c>
      <c r="C44" s="8">
        <v>0</v>
      </c>
      <c r="G44" s="46" t="s">
        <v>358</v>
      </c>
      <c r="H44" s="48">
        <f>MATCH($H$43,$H$23:$J$23,0)</f>
        <v>1</v>
      </c>
      <c r="I44" s="51"/>
      <c r="J44" s="51"/>
    </row>
    <row r="45" spans="2:10" ht="15" x14ac:dyDescent="0.35">
      <c r="B45" s="6" t="s">
        <v>22</v>
      </c>
      <c r="C45" s="8">
        <v>540</v>
      </c>
      <c r="G45" s="46" t="s">
        <v>359</v>
      </c>
      <c r="H45" s="49">
        <f>SUM($H$25:$J$25)</f>
        <v>7633</v>
      </c>
      <c r="I45" s="51"/>
      <c r="J45" s="51"/>
    </row>
    <row r="46" spans="2:10" x14ac:dyDescent="0.3">
      <c r="B46" s="6" t="s">
        <v>14</v>
      </c>
      <c r="C46" s="8">
        <v>400</v>
      </c>
    </row>
    <row r="47" spans="2:10" x14ac:dyDescent="0.3">
      <c r="B47" s="6" t="s">
        <v>309</v>
      </c>
      <c r="C47" s="8">
        <v>940</v>
      </c>
      <c r="D47" s="30">
        <f>GETPIVOTDATA("Minecraft Season Pass Price",$B$43)</f>
        <v>940</v>
      </c>
    </row>
    <row r="50" spans="2:3" x14ac:dyDescent="0.3">
      <c r="B50" s="29" t="s">
        <v>317</v>
      </c>
    </row>
    <row r="53" spans="2:3" x14ac:dyDescent="0.3">
      <c r="B53" s="5" t="s">
        <v>12</v>
      </c>
      <c r="C53" t="s">
        <v>20</v>
      </c>
    </row>
    <row r="55" spans="2:3" x14ac:dyDescent="0.3">
      <c r="B55" s="5" t="s">
        <v>308</v>
      </c>
      <c r="C55" t="s">
        <v>310</v>
      </c>
    </row>
    <row r="56" spans="2:3" x14ac:dyDescent="0.3">
      <c r="B56" s="6" t="s">
        <v>18</v>
      </c>
      <c r="C56" s="8">
        <v>120</v>
      </c>
    </row>
    <row r="57" spans="2:3" x14ac:dyDescent="0.3">
      <c r="B57" s="6" t="s">
        <v>22</v>
      </c>
      <c r="C57" s="8">
        <v>448</v>
      </c>
    </row>
    <row r="58" spans="2:3" x14ac:dyDescent="0.3">
      <c r="B58" s="6" t="s">
        <v>14</v>
      </c>
      <c r="C58" s="8">
        <v>1186</v>
      </c>
    </row>
    <row r="59" spans="2:3" x14ac:dyDescent="0.3">
      <c r="B59" s="6" t="s">
        <v>309</v>
      </c>
      <c r="C59" s="8">
        <v>1754</v>
      </c>
    </row>
  </sheetData>
  <mergeCells count="1">
    <mergeCell ref="B4:F4"/>
  </mergeCells>
  <pageMargins left="0.511811024" right="0.511811024" top="0.78740157499999996" bottom="0.78740157499999996" header="0.31496062000000002" footer="0.31496062000000002"/>
  <pageSetup paperSize="9" orientation="portrait" r:id="rId6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8AD88-4CD7-43A3-8CDA-DD383ABDE9CD}">
  <sheetPr codeName="Planilha4">
    <tabColor theme="6" tint="0.79998168889431442"/>
  </sheetPr>
  <dimension ref="A1:T203"/>
  <sheetViews>
    <sheetView showGridLines="0" showRowColHeaders="0" tabSelected="1" zoomScale="69" zoomScaleNormal="69" workbookViewId="0"/>
  </sheetViews>
  <sheetFormatPr defaultRowHeight="14.4" x14ac:dyDescent="0.3"/>
  <cols>
    <col min="1" max="1" width="28.6640625" style="11" customWidth="1"/>
    <col min="2" max="2" width="4.109375" customWidth="1"/>
    <col min="3" max="3" width="8.77734375" customWidth="1"/>
    <col min="12" max="12" width="6.5546875" customWidth="1"/>
    <col min="19" max="19" width="9" customWidth="1"/>
  </cols>
  <sheetData>
    <row r="1" spans="1:20" ht="22.2" customHeight="1" x14ac:dyDescent="0.3">
      <c r="A1" s="11" t="s">
        <v>368</v>
      </c>
    </row>
    <row r="2" spans="1:20" ht="34.799999999999997" customHeight="1" thickBot="1" x14ac:dyDescent="0.65">
      <c r="C2" s="13" t="s">
        <v>316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</row>
    <row r="3" spans="1:20" ht="33" customHeight="1" thickTop="1" x14ac:dyDescent="0.3"/>
    <row r="4" spans="1:20" s="4" customFormat="1" ht="24.6" customHeight="1" x14ac:dyDescent="0.3">
      <c r="A4" s="11"/>
    </row>
    <row r="5" spans="1:20" s="4" customFormat="1" x14ac:dyDescent="0.3">
      <c r="A5" s="11"/>
    </row>
    <row r="6" spans="1:20" s="4" customFormat="1" ht="8.4" customHeight="1" x14ac:dyDescent="0.3">
      <c r="A6" s="11"/>
    </row>
    <row r="7" spans="1:20" s="4" customFormat="1" x14ac:dyDescent="0.3">
      <c r="A7" s="11"/>
    </row>
    <row r="8" spans="1:20" s="4" customFormat="1" x14ac:dyDescent="0.3">
      <c r="A8" s="11"/>
    </row>
    <row r="9" spans="1:20" s="4" customFormat="1" x14ac:dyDescent="0.3">
      <c r="A9" s="11"/>
    </row>
    <row r="10" spans="1:20" s="4" customFormat="1" x14ac:dyDescent="0.3">
      <c r="A10" s="11"/>
    </row>
    <row r="11" spans="1:20" s="4" customFormat="1" x14ac:dyDescent="0.3">
      <c r="A11" s="11"/>
    </row>
    <row r="12" spans="1:20" s="4" customFormat="1" x14ac:dyDescent="0.3">
      <c r="A12" s="11"/>
    </row>
    <row r="13" spans="1:20" s="4" customFormat="1" x14ac:dyDescent="0.3">
      <c r="A13" s="11"/>
    </row>
    <row r="14" spans="1:20" s="4" customFormat="1" x14ac:dyDescent="0.3">
      <c r="A14" s="11"/>
    </row>
    <row r="15" spans="1:20" s="4" customFormat="1" x14ac:dyDescent="0.3">
      <c r="A15" s="11"/>
    </row>
    <row r="16" spans="1:20" s="4" customFormat="1" x14ac:dyDescent="0.3">
      <c r="A16" s="11"/>
    </row>
    <row r="17" spans="1:1" s="4" customFormat="1" x14ac:dyDescent="0.3">
      <c r="A17" s="11"/>
    </row>
    <row r="18" spans="1:1" s="4" customFormat="1" x14ac:dyDescent="0.3">
      <c r="A18" s="11"/>
    </row>
    <row r="19" spans="1:1" s="4" customFormat="1" x14ac:dyDescent="0.3">
      <c r="A19" s="11"/>
    </row>
    <row r="20" spans="1:1" s="4" customFormat="1" x14ac:dyDescent="0.3">
      <c r="A20" s="11"/>
    </row>
    <row r="21" spans="1:1" s="4" customFormat="1" x14ac:dyDescent="0.3">
      <c r="A21" s="11"/>
    </row>
    <row r="22" spans="1:1" s="4" customFormat="1" x14ac:dyDescent="0.3">
      <c r="A22" s="11"/>
    </row>
    <row r="23" spans="1:1" s="4" customFormat="1" x14ac:dyDescent="0.3">
      <c r="A23" s="11"/>
    </row>
    <row r="24" spans="1:1" s="4" customFormat="1" x14ac:dyDescent="0.3">
      <c r="A24" s="11"/>
    </row>
    <row r="25" spans="1:1" s="4" customFormat="1" x14ac:dyDescent="0.3">
      <c r="A25" s="11"/>
    </row>
    <row r="26" spans="1:1" s="4" customFormat="1" x14ac:dyDescent="0.3">
      <c r="A26" s="11"/>
    </row>
    <row r="27" spans="1:1" s="4" customFormat="1" x14ac:dyDescent="0.3">
      <c r="A27" s="11"/>
    </row>
    <row r="28" spans="1:1" s="4" customFormat="1" x14ac:dyDescent="0.3">
      <c r="A28" s="11"/>
    </row>
    <row r="29" spans="1:1" s="4" customFormat="1" x14ac:dyDescent="0.3">
      <c r="A29" s="11"/>
    </row>
    <row r="30" spans="1:1" s="4" customFormat="1" x14ac:dyDescent="0.3">
      <c r="A30" s="11"/>
    </row>
    <row r="31" spans="1:1" s="4" customFormat="1" x14ac:dyDescent="0.3">
      <c r="A31" s="11"/>
    </row>
    <row r="32" spans="1:1" s="4" customFormat="1" x14ac:dyDescent="0.3">
      <c r="A32" s="11"/>
    </row>
    <row r="33" spans="1:1" s="4" customFormat="1" x14ac:dyDescent="0.3">
      <c r="A33" s="11"/>
    </row>
    <row r="34" spans="1:1" s="4" customFormat="1" x14ac:dyDescent="0.3">
      <c r="A34" s="11"/>
    </row>
    <row r="35" spans="1:1" s="4" customFormat="1" x14ac:dyDescent="0.3">
      <c r="A35" s="11"/>
    </row>
    <row r="36" spans="1:1" s="4" customFormat="1" x14ac:dyDescent="0.3">
      <c r="A36" s="11"/>
    </row>
    <row r="37" spans="1:1" s="4" customFormat="1" x14ac:dyDescent="0.3">
      <c r="A37" s="11"/>
    </row>
    <row r="38" spans="1:1" s="4" customFormat="1" x14ac:dyDescent="0.3">
      <c r="A38" s="11"/>
    </row>
    <row r="39" spans="1:1" s="4" customFormat="1" x14ac:dyDescent="0.3">
      <c r="A39" s="11"/>
    </row>
    <row r="40" spans="1:1" s="4" customFormat="1" x14ac:dyDescent="0.3">
      <c r="A40" s="11"/>
    </row>
    <row r="41" spans="1:1" s="4" customFormat="1" x14ac:dyDescent="0.3">
      <c r="A41" s="11"/>
    </row>
    <row r="42" spans="1:1" s="4" customFormat="1" x14ac:dyDescent="0.3">
      <c r="A42" s="11"/>
    </row>
    <row r="43" spans="1:1" s="4" customFormat="1" x14ac:dyDescent="0.3">
      <c r="A43" s="11"/>
    </row>
    <row r="44" spans="1:1" s="4" customFormat="1" x14ac:dyDescent="0.3">
      <c r="A44" s="11"/>
    </row>
    <row r="45" spans="1:1" s="4" customFormat="1" x14ac:dyDescent="0.3">
      <c r="A45" s="11"/>
    </row>
    <row r="46" spans="1:1" s="4" customFormat="1" x14ac:dyDescent="0.3">
      <c r="A46" s="11"/>
    </row>
    <row r="47" spans="1:1" s="4" customFormat="1" x14ac:dyDescent="0.3">
      <c r="A47" s="11"/>
    </row>
    <row r="48" spans="1:1" s="4" customFormat="1" x14ac:dyDescent="0.3">
      <c r="A48" s="11"/>
    </row>
    <row r="49" spans="1:1" s="4" customFormat="1" x14ac:dyDescent="0.3">
      <c r="A49" s="11"/>
    </row>
    <row r="50" spans="1:1" s="4" customFormat="1" x14ac:dyDescent="0.3">
      <c r="A50" s="11"/>
    </row>
    <row r="51" spans="1:1" s="4" customFormat="1" x14ac:dyDescent="0.3">
      <c r="A51" s="11"/>
    </row>
    <row r="52" spans="1:1" s="4" customFormat="1" x14ac:dyDescent="0.3">
      <c r="A52" s="11"/>
    </row>
    <row r="53" spans="1:1" s="4" customFormat="1" x14ac:dyDescent="0.3">
      <c r="A53" s="11"/>
    </row>
    <row r="54" spans="1:1" s="4" customFormat="1" x14ac:dyDescent="0.3">
      <c r="A54" s="11"/>
    </row>
    <row r="55" spans="1:1" s="4" customFormat="1" x14ac:dyDescent="0.3">
      <c r="A55" s="11"/>
    </row>
    <row r="56" spans="1:1" s="4" customFormat="1" x14ac:dyDescent="0.3">
      <c r="A56" s="11"/>
    </row>
    <row r="57" spans="1:1" s="4" customFormat="1" x14ac:dyDescent="0.3">
      <c r="A57" s="11"/>
    </row>
    <row r="58" spans="1:1" s="4" customFormat="1" x14ac:dyDescent="0.3">
      <c r="A58" s="11"/>
    </row>
    <row r="59" spans="1:1" s="4" customFormat="1" x14ac:dyDescent="0.3">
      <c r="A59" s="11"/>
    </row>
    <row r="60" spans="1:1" s="4" customFormat="1" x14ac:dyDescent="0.3">
      <c r="A60" s="11"/>
    </row>
    <row r="61" spans="1:1" s="4" customFormat="1" x14ac:dyDescent="0.3">
      <c r="A61" s="11"/>
    </row>
    <row r="62" spans="1:1" s="4" customFormat="1" x14ac:dyDescent="0.3">
      <c r="A62" s="11"/>
    </row>
    <row r="63" spans="1:1" s="4" customFormat="1" x14ac:dyDescent="0.3">
      <c r="A63" s="11"/>
    </row>
    <row r="64" spans="1:1" s="4" customFormat="1" x14ac:dyDescent="0.3">
      <c r="A64" s="11"/>
    </row>
    <row r="65" spans="1:1" s="4" customFormat="1" x14ac:dyDescent="0.3">
      <c r="A65" s="11"/>
    </row>
    <row r="66" spans="1:1" s="4" customFormat="1" x14ac:dyDescent="0.3">
      <c r="A66" s="11"/>
    </row>
    <row r="67" spans="1:1" s="4" customFormat="1" x14ac:dyDescent="0.3">
      <c r="A67" s="11"/>
    </row>
    <row r="68" spans="1:1" s="4" customFormat="1" x14ac:dyDescent="0.3">
      <c r="A68" s="11"/>
    </row>
    <row r="69" spans="1:1" s="4" customFormat="1" x14ac:dyDescent="0.3">
      <c r="A69" s="11"/>
    </row>
    <row r="70" spans="1:1" s="4" customFormat="1" x14ac:dyDescent="0.3">
      <c r="A70" s="11"/>
    </row>
    <row r="71" spans="1:1" s="4" customFormat="1" x14ac:dyDescent="0.3">
      <c r="A71" s="11"/>
    </row>
    <row r="72" spans="1:1" s="4" customFormat="1" x14ac:dyDescent="0.3">
      <c r="A72" s="11"/>
    </row>
    <row r="73" spans="1:1" s="4" customFormat="1" x14ac:dyDescent="0.3">
      <c r="A73" s="11"/>
    </row>
    <row r="74" spans="1:1" s="4" customFormat="1" x14ac:dyDescent="0.3">
      <c r="A74" s="11"/>
    </row>
    <row r="75" spans="1:1" s="4" customFormat="1" x14ac:dyDescent="0.3">
      <c r="A75" s="11"/>
    </row>
    <row r="76" spans="1:1" s="4" customFormat="1" x14ac:dyDescent="0.3">
      <c r="A76" s="11"/>
    </row>
    <row r="77" spans="1:1" s="4" customFormat="1" x14ac:dyDescent="0.3">
      <c r="A77" s="11"/>
    </row>
    <row r="78" spans="1:1" s="4" customFormat="1" x14ac:dyDescent="0.3">
      <c r="A78" s="11"/>
    </row>
    <row r="79" spans="1:1" s="4" customFormat="1" x14ac:dyDescent="0.3">
      <c r="A79" s="11"/>
    </row>
    <row r="80" spans="1:1" s="4" customFormat="1" x14ac:dyDescent="0.3">
      <c r="A80" s="11"/>
    </row>
    <row r="81" spans="1:1" s="4" customFormat="1" x14ac:dyDescent="0.3">
      <c r="A81" s="11"/>
    </row>
    <row r="82" spans="1:1" s="4" customFormat="1" x14ac:dyDescent="0.3">
      <c r="A82" s="11"/>
    </row>
    <row r="83" spans="1:1" s="4" customFormat="1" x14ac:dyDescent="0.3">
      <c r="A83" s="11"/>
    </row>
    <row r="84" spans="1:1" s="4" customFormat="1" x14ac:dyDescent="0.3">
      <c r="A84" s="11"/>
    </row>
    <row r="85" spans="1:1" s="4" customFormat="1" x14ac:dyDescent="0.3">
      <c r="A85" s="11"/>
    </row>
    <row r="86" spans="1:1" s="4" customFormat="1" x14ac:dyDescent="0.3">
      <c r="A86" s="11"/>
    </row>
    <row r="87" spans="1:1" s="4" customFormat="1" x14ac:dyDescent="0.3">
      <c r="A87" s="11"/>
    </row>
    <row r="88" spans="1:1" s="4" customFormat="1" x14ac:dyDescent="0.3">
      <c r="A88" s="11"/>
    </row>
    <row r="89" spans="1:1" s="4" customFormat="1" x14ac:dyDescent="0.3">
      <c r="A89" s="11"/>
    </row>
    <row r="90" spans="1:1" s="4" customFormat="1" x14ac:dyDescent="0.3">
      <c r="A90" s="11"/>
    </row>
    <row r="91" spans="1:1" s="4" customFormat="1" x14ac:dyDescent="0.3">
      <c r="A91" s="11"/>
    </row>
    <row r="92" spans="1:1" s="4" customFormat="1" x14ac:dyDescent="0.3">
      <c r="A92" s="11"/>
    </row>
    <row r="93" spans="1:1" s="4" customFormat="1" x14ac:dyDescent="0.3">
      <c r="A93" s="11"/>
    </row>
    <row r="94" spans="1:1" s="4" customFormat="1" x14ac:dyDescent="0.3">
      <c r="A94" s="11"/>
    </row>
    <row r="95" spans="1:1" s="4" customFormat="1" x14ac:dyDescent="0.3">
      <c r="A95" s="11"/>
    </row>
    <row r="96" spans="1:1" s="4" customFormat="1" x14ac:dyDescent="0.3">
      <c r="A96" s="11"/>
    </row>
    <row r="97" spans="1:1" s="4" customFormat="1" x14ac:dyDescent="0.3">
      <c r="A97" s="11"/>
    </row>
    <row r="98" spans="1:1" s="4" customFormat="1" x14ac:dyDescent="0.3">
      <c r="A98" s="11"/>
    </row>
    <row r="99" spans="1:1" s="4" customFormat="1" x14ac:dyDescent="0.3">
      <c r="A99" s="11"/>
    </row>
    <row r="100" spans="1:1" s="4" customFormat="1" x14ac:dyDescent="0.3">
      <c r="A100" s="11"/>
    </row>
    <row r="101" spans="1:1" s="4" customFormat="1" x14ac:dyDescent="0.3">
      <c r="A101" s="11"/>
    </row>
    <row r="102" spans="1:1" s="4" customFormat="1" x14ac:dyDescent="0.3">
      <c r="A102" s="11"/>
    </row>
    <row r="103" spans="1:1" s="4" customFormat="1" x14ac:dyDescent="0.3">
      <c r="A103" s="11"/>
    </row>
    <row r="104" spans="1:1" s="4" customFormat="1" x14ac:dyDescent="0.3">
      <c r="A104" s="11"/>
    </row>
    <row r="105" spans="1:1" s="4" customFormat="1" x14ac:dyDescent="0.3">
      <c r="A105" s="11"/>
    </row>
    <row r="106" spans="1:1" s="4" customFormat="1" x14ac:dyDescent="0.3">
      <c r="A106" s="11"/>
    </row>
    <row r="107" spans="1:1" s="4" customFormat="1" x14ac:dyDescent="0.3">
      <c r="A107" s="11"/>
    </row>
    <row r="108" spans="1:1" s="4" customFormat="1" x14ac:dyDescent="0.3">
      <c r="A108" s="11"/>
    </row>
    <row r="109" spans="1:1" s="4" customFormat="1" x14ac:dyDescent="0.3">
      <c r="A109" s="11"/>
    </row>
    <row r="110" spans="1:1" s="4" customFormat="1" x14ac:dyDescent="0.3">
      <c r="A110" s="11"/>
    </row>
    <row r="111" spans="1:1" s="4" customFormat="1" x14ac:dyDescent="0.3">
      <c r="A111" s="11"/>
    </row>
    <row r="112" spans="1:1" s="4" customFormat="1" x14ac:dyDescent="0.3">
      <c r="A112" s="11"/>
    </row>
    <row r="113" spans="1:1" s="4" customFormat="1" x14ac:dyDescent="0.3">
      <c r="A113" s="11"/>
    </row>
    <row r="114" spans="1:1" s="4" customFormat="1" x14ac:dyDescent="0.3">
      <c r="A114" s="11"/>
    </row>
    <row r="115" spans="1:1" s="4" customFormat="1" x14ac:dyDescent="0.3">
      <c r="A115" s="11"/>
    </row>
    <row r="116" spans="1:1" s="4" customFormat="1" x14ac:dyDescent="0.3">
      <c r="A116" s="11"/>
    </row>
    <row r="117" spans="1:1" s="4" customFormat="1" x14ac:dyDescent="0.3">
      <c r="A117" s="11"/>
    </row>
    <row r="118" spans="1:1" s="4" customFormat="1" x14ac:dyDescent="0.3">
      <c r="A118" s="11"/>
    </row>
    <row r="119" spans="1:1" s="4" customFormat="1" x14ac:dyDescent="0.3">
      <c r="A119" s="11"/>
    </row>
    <row r="120" spans="1:1" s="4" customFormat="1" x14ac:dyDescent="0.3">
      <c r="A120" s="11"/>
    </row>
    <row r="121" spans="1:1" s="4" customFormat="1" x14ac:dyDescent="0.3">
      <c r="A121" s="11"/>
    </row>
    <row r="122" spans="1:1" s="4" customFormat="1" x14ac:dyDescent="0.3">
      <c r="A122" s="11"/>
    </row>
    <row r="123" spans="1:1" s="4" customFormat="1" x14ac:dyDescent="0.3">
      <c r="A123" s="11"/>
    </row>
    <row r="124" spans="1:1" s="4" customFormat="1" x14ac:dyDescent="0.3">
      <c r="A124" s="11"/>
    </row>
    <row r="125" spans="1:1" s="4" customFormat="1" x14ac:dyDescent="0.3">
      <c r="A125" s="11"/>
    </row>
    <row r="126" spans="1:1" s="4" customFormat="1" x14ac:dyDescent="0.3">
      <c r="A126" s="11"/>
    </row>
    <row r="127" spans="1:1" s="4" customFormat="1" x14ac:dyDescent="0.3">
      <c r="A127" s="11"/>
    </row>
    <row r="128" spans="1:1" s="4" customFormat="1" x14ac:dyDescent="0.3">
      <c r="A128" s="11"/>
    </row>
    <row r="129" spans="1:1" s="4" customFormat="1" x14ac:dyDescent="0.3">
      <c r="A129" s="11"/>
    </row>
    <row r="130" spans="1:1" s="4" customFormat="1" x14ac:dyDescent="0.3">
      <c r="A130" s="11"/>
    </row>
    <row r="131" spans="1:1" s="4" customFormat="1" x14ac:dyDescent="0.3">
      <c r="A131" s="11"/>
    </row>
    <row r="132" spans="1:1" s="4" customFormat="1" x14ac:dyDescent="0.3">
      <c r="A132" s="11"/>
    </row>
    <row r="133" spans="1:1" s="4" customFormat="1" x14ac:dyDescent="0.3">
      <c r="A133" s="11"/>
    </row>
    <row r="134" spans="1:1" s="4" customFormat="1" x14ac:dyDescent="0.3">
      <c r="A134" s="11"/>
    </row>
    <row r="135" spans="1:1" s="4" customFormat="1" x14ac:dyDescent="0.3">
      <c r="A135" s="11"/>
    </row>
    <row r="136" spans="1:1" s="4" customFormat="1" x14ac:dyDescent="0.3">
      <c r="A136" s="11"/>
    </row>
    <row r="137" spans="1:1" s="4" customFormat="1" x14ac:dyDescent="0.3">
      <c r="A137" s="11"/>
    </row>
    <row r="138" spans="1:1" s="4" customFormat="1" x14ac:dyDescent="0.3">
      <c r="A138" s="11"/>
    </row>
    <row r="139" spans="1:1" s="4" customFormat="1" x14ac:dyDescent="0.3">
      <c r="A139" s="11"/>
    </row>
    <row r="140" spans="1:1" s="4" customFormat="1" x14ac:dyDescent="0.3">
      <c r="A140" s="11"/>
    </row>
    <row r="141" spans="1:1" s="4" customFormat="1" x14ac:dyDescent="0.3">
      <c r="A141" s="11"/>
    </row>
    <row r="142" spans="1:1" s="4" customFormat="1" x14ac:dyDescent="0.3">
      <c r="A142" s="11"/>
    </row>
    <row r="143" spans="1:1" s="4" customFormat="1" x14ac:dyDescent="0.3">
      <c r="A143" s="11"/>
    </row>
    <row r="144" spans="1:1" s="4" customFormat="1" x14ac:dyDescent="0.3">
      <c r="A144" s="11"/>
    </row>
    <row r="145" spans="1:1" s="4" customFormat="1" x14ac:dyDescent="0.3">
      <c r="A145" s="11"/>
    </row>
    <row r="146" spans="1:1" s="4" customFormat="1" x14ac:dyDescent="0.3">
      <c r="A146" s="11"/>
    </row>
    <row r="147" spans="1:1" s="4" customFormat="1" x14ac:dyDescent="0.3">
      <c r="A147" s="11"/>
    </row>
    <row r="148" spans="1:1" s="4" customFormat="1" x14ac:dyDescent="0.3">
      <c r="A148" s="11"/>
    </row>
    <row r="149" spans="1:1" s="4" customFormat="1" x14ac:dyDescent="0.3">
      <c r="A149" s="11"/>
    </row>
    <row r="150" spans="1:1" s="4" customFormat="1" x14ac:dyDescent="0.3">
      <c r="A150" s="11"/>
    </row>
    <row r="151" spans="1:1" s="4" customFormat="1" x14ac:dyDescent="0.3">
      <c r="A151" s="11"/>
    </row>
    <row r="152" spans="1:1" s="4" customFormat="1" x14ac:dyDescent="0.3">
      <c r="A152" s="11"/>
    </row>
    <row r="153" spans="1:1" s="4" customFormat="1" x14ac:dyDescent="0.3">
      <c r="A153" s="11"/>
    </row>
    <row r="154" spans="1:1" s="4" customFormat="1" x14ac:dyDescent="0.3">
      <c r="A154" s="11"/>
    </row>
    <row r="155" spans="1:1" s="4" customFormat="1" x14ac:dyDescent="0.3">
      <c r="A155" s="11"/>
    </row>
    <row r="156" spans="1:1" s="4" customFormat="1" x14ac:dyDescent="0.3">
      <c r="A156" s="11"/>
    </row>
    <row r="157" spans="1:1" s="4" customFormat="1" x14ac:dyDescent="0.3">
      <c r="A157" s="11"/>
    </row>
    <row r="158" spans="1:1" s="4" customFormat="1" x14ac:dyDescent="0.3">
      <c r="A158" s="11"/>
    </row>
    <row r="159" spans="1:1" s="4" customFormat="1" x14ac:dyDescent="0.3">
      <c r="A159" s="11"/>
    </row>
    <row r="160" spans="1:1" s="4" customFormat="1" x14ac:dyDescent="0.3">
      <c r="A160" s="11"/>
    </row>
    <row r="161" spans="1:1" s="4" customFormat="1" x14ac:dyDescent="0.3">
      <c r="A161" s="11"/>
    </row>
    <row r="162" spans="1:1" s="4" customFormat="1" x14ac:dyDescent="0.3">
      <c r="A162" s="11"/>
    </row>
    <row r="163" spans="1:1" s="4" customFormat="1" x14ac:dyDescent="0.3">
      <c r="A163" s="11"/>
    </row>
    <row r="164" spans="1:1" s="4" customFormat="1" x14ac:dyDescent="0.3">
      <c r="A164" s="11"/>
    </row>
    <row r="165" spans="1:1" s="4" customFormat="1" x14ac:dyDescent="0.3">
      <c r="A165" s="11"/>
    </row>
    <row r="166" spans="1:1" s="4" customFormat="1" x14ac:dyDescent="0.3">
      <c r="A166" s="11"/>
    </row>
    <row r="167" spans="1:1" s="4" customFormat="1" x14ac:dyDescent="0.3">
      <c r="A167" s="11"/>
    </row>
    <row r="168" spans="1:1" s="4" customFormat="1" x14ac:dyDescent="0.3">
      <c r="A168" s="11"/>
    </row>
    <row r="169" spans="1:1" s="4" customFormat="1" x14ac:dyDescent="0.3">
      <c r="A169" s="11"/>
    </row>
    <row r="170" spans="1:1" s="4" customFormat="1" x14ac:dyDescent="0.3">
      <c r="A170" s="11"/>
    </row>
    <row r="171" spans="1:1" s="4" customFormat="1" x14ac:dyDescent="0.3">
      <c r="A171" s="11"/>
    </row>
    <row r="172" spans="1:1" s="4" customFormat="1" x14ac:dyDescent="0.3">
      <c r="A172" s="11"/>
    </row>
    <row r="173" spans="1:1" s="4" customFormat="1" x14ac:dyDescent="0.3">
      <c r="A173" s="11"/>
    </row>
    <row r="174" spans="1:1" s="4" customFormat="1" x14ac:dyDescent="0.3">
      <c r="A174" s="11"/>
    </row>
    <row r="175" spans="1:1" s="4" customFormat="1" x14ac:dyDescent="0.3">
      <c r="A175" s="11"/>
    </row>
    <row r="176" spans="1:1" s="4" customFormat="1" x14ac:dyDescent="0.3">
      <c r="A176" s="11"/>
    </row>
    <row r="177" spans="1:1" s="4" customFormat="1" x14ac:dyDescent="0.3">
      <c r="A177" s="11"/>
    </row>
    <row r="178" spans="1:1" s="4" customFormat="1" x14ac:dyDescent="0.3">
      <c r="A178" s="11"/>
    </row>
    <row r="179" spans="1:1" s="4" customFormat="1" x14ac:dyDescent="0.3">
      <c r="A179" s="11"/>
    </row>
    <row r="180" spans="1:1" s="4" customFormat="1" x14ac:dyDescent="0.3">
      <c r="A180" s="11"/>
    </row>
    <row r="181" spans="1:1" s="4" customFormat="1" x14ac:dyDescent="0.3">
      <c r="A181" s="11"/>
    </row>
    <row r="182" spans="1:1" s="4" customFormat="1" x14ac:dyDescent="0.3">
      <c r="A182" s="11"/>
    </row>
    <row r="183" spans="1:1" s="4" customFormat="1" x14ac:dyDescent="0.3">
      <c r="A183" s="11"/>
    </row>
    <row r="184" spans="1:1" s="4" customFormat="1" x14ac:dyDescent="0.3">
      <c r="A184" s="11"/>
    </row>
    <row r="185" spans="1:1" s="4" customFormat="1" x14ac:dyDescent="0.3">
      <c r="A185" s="11"/>
    </row>
    <row r="186" spans="1:1" s="4" customFormat="1" x14ac:dyDescent="0.3">
      <c r="A186" s="11"/>
    </row>
    <row r="187" spans="1:1" s="4" customFormat="1" x14ac:dyDescent="0.3">
      <c r="A187" s="11"/>
    </row>
    <row r="188" spans="1:1" s="4" customFormat="1" x14ac:dyDescent="0.3">
      <c r="A188" s="11"/>
    </row>
    <row r="189" spans="1:1" s="4" customFormat="1" x14ac:dyDescent="0.3">
      <c r="A189" s="11"/>
    </row>
    <row r="190" spans="1:1" s="4" customFormat="1" x14ac:dyDescent="0.3">
      <c r="A190" s="11"/>
    </row>
    <row r="191" spans="1:1" s="4" customFormat="1" x14ac:dyDescent="0.3">
      <c r="A191" s="11"/>
    </row>
    <row r="192" spans="1:1" s="4" customFormat="1" x14ac:dyDescent="0.3">
      <c r="A192" s="11"/>
    </row>
    <row r="193" spans="1:1" s="4" customFormat="1" x14ac:dyDescent="0.3">
      <c r="A193" s="11"/>
    </row>
    <row r="194" spans="1:1" s="4" customFormat="1" x14ac:dyDescent="0.3">
      <c r="A194" s="11"/>
    </row>
    <row r="195" spans="1:1" s="4" customFormat="1" x14ac:dyDescent="0.3">
      <c r="A195" s="11"/>
    </row>
    <row r="196" spans="1:1" s="4" customFormat="1" x14ac:dyDescent="0.3">
      <c r="A196" s="11"/>
    </row>
    <row r="197" spans="1:1" s="4" customFormat="1" x14ac:dyDescent="0.3">
      <c r="A197" s="11"/>
    </row>
    <row r="198" spans="1:1" s="4" customFormat="1" x14ac:dyDescent="0.3">
      <c r="A198" s="11"/>
    </row>
    <row r="199" spans="1:1" s="4" customFormat="1" x14ac:dyDescent="0.3">
      <c r="A199" s="11"/>
    </row>
    <row r="200" spans="1:1" s="4" customFormat="1" x14ac:dyDescent="0.3">
      <c r="A200" s="11"/>
    </row>
    <row r="201" spans="1:1" s="4" customFormat="1" x14ac:dyDescent="0.3">
      <c r="A201" s="11"/>
    </row>
    <row r="202" spans="1:1" s="4" customFormat="1" x14ac:dyDescent="0.3">
      <c r="A202" s="11"/>
    </row>
    <row r="203" spans="1:1" s="4" customFormat="1" x14ac:dyDescent="0.3">
      <c r="A203" s="11"/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823E"/>
  </sheetPr>
  <dimension ref="A1:BBR44"/>
  <sheetViews>
    <sheetView showGridLines="0" showRowColHeaders="0" zoomScale="69" zoomScaleNormal="69" workbookViewId="0"/>
  </sheetViews>
  <sheetFormatPr defaultRowHeight="14.4" x14ac:dyDescent="0.3"/>
  <cols>
    <col min="1" max="1" width="28.6640625" style="56" customWidth="1"/>
    <col min="2" max="2" width="4" style="4" customWidth="1"/>
    <col min="3" max="5" width="15" style="42" customWidth="1"/>
    <col min="6" max="6" width="19.33203125" style="42" customWidth="1"/>
    <col min="7" max="7" width="3.88671875" style="42" customWidth="1"/>
    <col min="8" max="9" width="15" style="42" customWidth="1"/>
    <col min="10" max="10" width="17" style="42" customWidth="1"/>
    <col min="11" max="11" width="22.44140625" style="42" customWidth="1"/>
    <col min="12" max="12" width="6.33203125" style="42" customWidth="1"/>
    <col min="13" max="13" width="4" style="42" customWidth="1"/>
    <col min="14" max="14" width="48.5546875" style="4" bestFit="1" customWidth="1"/>
    <col min="15" max="17" width="10.5546875" style="4" bestFit="1" customWidth="1"/>
    <col min="18" max="16384" width="8.88671875" style="4"/>
  </cols>
  <sheetData>
    <row r="1" spans="1:1422" s="40" customFormat="1" ht="21.6" customHeight="1" x14ac:dyDescent="0.3">
      <c r="A1" s="56"/>
      <c r="C1" s="24"/>
      <c r="D1" s="24"/>
      <c r="E1" s="24"/>
      <c r="F1" s="24"/>
      <c r="G1" s="24"/>
      <c r="H1" s="24"/>
      <c r="I1" s="24"/>
      <c r="J1" s="24"/>
      <c r="K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K1" s="24"/>
      <c r="IL1" s="24"/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  <c r="JF1" s="24"/>
      <c r="JG1" s="24"/>
      <c r="JH1" s="24"/>
      <c r="JI1" s="24"/>
      <c r="JJ1" s="24"/>
      <c r="JK1" s="24"/>
      <c r="JL1" s="24"/>
      <c r="JM1" s="24"/>
      <c r="JN1" s="24"/>
      <c r="JO1" s="24"/>
      <c r="JP1" s="24"/>
      <c r="JQ1" s="24"/>
      <c r="JR1" s="24"/>
      <c r="JS1" s="24"/>
      <c r="JT1" s="24"/>
      <c r="JU1" s="24"/>
      <c r="JV1" s="24"/>
      <c r="JW1" s="24"/>
      <c r="JX1" s="24"/>
      <c r="JY1" s="24"/>
      <c r="JZ1" s="24"/>
      <c r="KA1" s="24"/>
      <c r="KB1" s="24"/>
      <c r="KC1" s="24"/>
      <c r="KD1" s="24"/>
      <c r="KE1" s="24"/>
      <c r="KF1" s="24"/>
      <c r="KG1" s="24"/>
      <c r="KH1" s="24"/>
      <c r="KI1" s="24"/>
      <c r="KJ1" s="24"/>
      <c r="KK1" s="24"/>
      <c r="KL1" s="24"/>
      <c r="KM1" s="24"/>
      <c r="KN1" s="24"/>
      <c r="KO1" s="24"/>
      <c r="KP1" s="24"/>
      <c r="KQ1" s="24"/>
      <c r="KR1" s="24"/>
      <c r="KS1" s="24"/>
      <c r="KT1" s="24"/>
      <c r="KU1" s="24"/>
      <c r="KV1" s="24"/>
      <c r="KW1" s="24"/>
      <c r="KX1" s="24"/>
      <c r="KY1" s="24"/>
      <c r="KZ1" s="24"/>
      <c r="LA1" s="24"/>
      <c r="LB1" s="24"/>
      <c r="LC1" s="24"/>
      <c r="LD1" s="24"/>
      <c r="LE1" s="24"/>
      <c r="LF1" s="24"/>
      <c r="LG1" s="24"/>
      <c r="LH1" s="24"/>
      <c r="LI1" s="24"/>
      <c r="LJ1" s="24"/>
      <c r="LK1" s="24"/>
      <c r="LL1" s="24"/>
      <c r="LM1" s="24"/>
      <c r="LN1" s="24"/>
      <c r="LO1" s="24"/>
      <c r="LP1" s="24"/>
      <c r="LQ1" s="24"/>
      <c r="LR1" s="24"/>
      <c r="LS1" s="24"/>
      <c r="LT1" s="24"/>
      <c r="LU1" s="24"/>
      <c r="LV1" s="24"/>
      <c r="LW1" s="24"/>
      <c r="LX1" s="24"/>
      <c r="LY1" s="24"/>
      <c r="LZ1" s="24"/>
      <c r="MA1" s="24"/>
      <c r="MB1" s="24"/>
      <c r="MC1" s="24"/>
      <c r="MD1" s="24"/>
      <c r="ME1" s="24"/>
      <c r="MF1" s="24"/>
      <c r="MG1" s="24"/>
      <c r="MH1" s="24"/>
      <c r="MI1" s="24"/>
      <c r="MJ1" s="24"/>
      <c r="MK1" s="24"/>
      <c r="ML1" s="24"/>
      <c r="MM1" s="24"/>
      <c r="MN1" s="24"/>
      <c r="MO1" s="24"/>
      <c r="MP1" s="24"/>
      <c r="MQ1" s="24"/>
      <c r="MR1" s="24"/>
      <c r="MS1" s="24"/>
      <c r="MT1" s="24"/>
      <c r="MU1" s="24"/>
      <c r="MV1" s="24"/>
      <c r="MW1" s="24"/>
      <c r="MX1" s="24"/>
      <c r="MY1" s="24"/>
      <c r="MZ1" s="24"/>
      <c r="NA1" s="24"/>
      <c r="NB1" s="24"/>
      <c r="NC1" s="24"/>
      <c r="ND1" s="24"/>
      <c r="NE1" s="24"/>
      <c r="NF1" s="24"/>
      <c r="NG1" s="24"/>
      <c r="NH1" s="24"/>
      <c r="NI1" s="24"/>
      <c r="NJ1" s="24"/>
      <c r="NK1" s="24"/>
      <c r="NL1" s="24"/>
      <c r="NM1" s="24"/>
      <c r="NN1" s="24"/>
      <c r="NO1" s="24"/>
      <c r="NP1" s="24"/>
      <c r="NQ1" s="24"/>
      <c r="NR1" s="24"/>
      <c r="NS1" s="24"/>
      <c r="NT1" s="24"/>
      <c r="NU1" s="24"/>
      <c r="NV1" s="24"/>
      <c r="NW1" s="24"/>
      <c r="NX1" s="24"/>
      <c r="NY1" s="24"/>
      <c r="NZ1" s="24"/>
      <c r="OA1" s="24"/>
      <c r="OB1" s="24"/>
      <c r="OC1" s="24"/>
      <c r="OD1" s="24"/>
      <c r="OE1" s="24"/>
      <c r="OF1" s="24"/>
      <c r="OG1" s="24"/>
      <c r="OH1" s="24"/>
      <c r="OI1" s="24"/>
      <c r="OJ1" s="24"/>
      <c r="OK1" s="24"/>
      <c r="OL1" s="24"/>
      <c r="OM1" s="24"/>
      <c r="ON1" s="24"/>
      <c r="OO1" s="24"/>
      <c r="OP1" s="24"/>
      <c r="OQ1" s="24"/>
      <c r="OR1" s="24"/>
      <c r="OS1" s="24"/>
      <c r="OT1" s="24"/>
      <c r="OU1" s="24"/>
      <c r="OV1" s="24"/>
      <c r="OW1" s="24"/>
      <c r="OX1" s="24"/>
      <c r="OY1" s="24"/>
      <c r="OZ1" s="24"/>
      <c r="PA1" s="24"/>
      <c r="PB1" s="24"/>
      <c r="PC1" s="24"/>
      <c r="PD1" s="24"/>
      <c r="PE1" s="24"/>
      <c r="PF1" s="24"/>
      <c r="PG1" s="24"/>
      <c r="PH1" s="24"/>
      <c r="PI1" s="24"/>
      <c r="PJ1" s="24"/>
      <c r="PK1" s="24"/>
      <c r="PL1" s="24"/>
      <c r="PM1" s="24"/>
      <c r="PN1" s="24"/>
      <c r="PO1" s="24"/>
      <c r="PP1" s="24"/>
      <c r="PQ1" s="24"/>
      <c r="PR1" s="24"/>
      <c r="PS1" s="24"/>
      <c r="PT1" s="24"/>
      <c r="PU1" s="24"/>
      <c r="PV1" s="24"/>
      <c r="PW1" s="24"/>
      <c r="PX1" s="24"/>
      <c r="PY1" s="24"/>
      <c r="PZ1" s="24"/>
      <c r="QA1" s="24"/>
      <c r="QB1" s="24"/>
      <c r="QC1" s="24"/>
      <c r="QD1" s="24"/>
      <c r="QE1" s="24"/>
      <c r="QF1" s="24"/>
      <c r="QG1" s="24"/>
      <c r="QH1" s="24"/>
      <c r="QI1" s="24"/>
      <c r="QJ1" s="24"/>
      <c r="QK1" s="24"/>
      <c r="QL1" s="24"/>
      <c r="QM1" s="24"/>
      <c r="QN1" s="24"/>
      <c r="QO1" s="24"/>
      <c r="QP1" s="24"/>
      <c r="QQ1" s="24"/>
      <c r="QR1" s="24"/>
      <c r="QS1" s="24"/>
      <c r="QT1" s="24"/>
      <c r="QU1" s="24"/>
      <c r="QV1" s="24"/>
      <c r="QW1" s="24"/>
      <c r="QX1" s="24"/>
      <c r="QY1" s="24"/>
      <c r="QZ1" s="24"/>
      <c r="RA1" s="24"/>
      <c r="RB1" s="24"/>
      <c r="RC1" s="24"/>
      <c r="RD1" s="24"/>
      <c r="RE1" s="24"/>
      <c r="RF1" s="24"/>
      <c r="RG1" s="24"/>
      <c r="RH1" s="24"/>
      <c r="RI1" s="24"/>
      <c r="RJ1" s="24"/>
      <c r="RK1" s="24"/>
      <c r="RL1" s="24"/>
      <c r="RM1" s="24"/>
      <c r="RN1" s="24"/>
      <c r="RO1" s="24"/>
      <c r="RP1" s="24"/>
      <c r="RQ1" s="24"/>
      <c r="RR1" s="24"/>
      <c r="RS1" s="24"/>
      <c r="RT1" s="24"/>
      <c r="RU1" s="24"/>
      <c r="RV1" s="24"/>
      <c r="RW1" s="24"/>
      <c r="RX1" s="24"/>
      <c r="RY1" s="24"/>
      <c r="RZ1" s="24"/>
      <c r="SA1" s="24"/>
      <c r="SB1" s="24"/>
      <c r="SC1" s="24"/>
      <c r="SD1" s="24"/>
      <c r="SE1" s="24"/>
      <c r="SF1" s="24"/>
      <c r="SG1" s="24"/>
      <c r="SH1" s="24"/>
      <c r="SI1" s="24"/>
      <c r="SJ1" s="24"/>
      <c r="SK1" s="24"/>
      <c r="SL1" s="24"/>
      <c r="SM1" s="24"/>
      <c r="SN1" s="24"/>
      <c r="SO1" s="24"/>
      <c r="SP1" s="24"/>
      <c r="SQ1" s="24"/>
      <c r="SR1" s="24"/>
      <c r="SS1" s="24"/>
      <c r="ST1" s="24"/>
      <c r="SU1" s="24"/>
      <c r="SV1" s="24"/>
      <c r="SW1" s="24"/>
      <c r="SX1" s="24"/>
      <c r="SY1" s="24"/>
      <c r="SZ1" s="24"/>
      <c r="TA1" s="24"/>
      <c r="TB1" s="24"/>
      <c r="TC1" s="24"/>
      <c r="TD1" s="24"/>
      <c r="TE1" s="24"/>
      <c r="TF1" s="24"/>
      <c r="TG1" s="24"/>
      <c r="TH1" s="24"/>
      <c r="TI1" s="24"/>
      <c r="TJ1" s="24"/>
      <c r="TK1" s="24"/>
      <c r="TL1" s="24"/>
      <c r="TM1" s="24"/>
      <c r="TN1" s="24"/>
      <c r="TO1" s="24"/>
      <c r="TP1" s="24"/>
      <c r="TQ1" s="24"/>
      <c r="TR1" s="24"/>
      <c r="TS1" s="24"/>
      <c r="TT1" s="24"/>
      <c r="TU1" s="24"/>
      <c r="TV1" s="24"/>
      <c r="TW1" s="24"/>
      <c r="TX1" s="24"/>
      <c r="TY1" s="24"/>
      <c r="TZ1" s="24"/>
      <c r="UA1" s="24"/>
      <c r="UB1" s="24"/>
      <c r="UC1" s="24"/>
      <c r="UD1" s="24"/>
      <c r="UE1" s="24"/>
      <c r="UF1" s="24"/>
      <c r="UG1" s="24"/>
      <c r="UH1" s="24"/>
      <c r="UI1" s="24"/>
      <c r="UJ1" s="24"/>
      <c r="UK1" s="24"/>
      <c r="UL1" s="24"/>
      <c r="UM1" s="24"/>
      <c r="UN1" s="24"/>
      <c r="UO1" s="24"/>
      <c r="UP1" s="24"/>
      <c r="UQ1" s="24"/>
      <c r="UR1" s="24"/>
      <c r="US1" s="24"/>
      <c r="UT1" s="24"/>
      <c r="UU1" s="24"/>
      <c r="UV1" s="24"/>
      <c r="UW1" s="24"/>
      <c r="UX1" s="24"/>
      <c r="UY1" s="24"/>
      <c r="UZ1" s="24"/>
      <c r="VA1" s="24"/>
      <c r="VB1" s="24"/>
      <c r="VC1" s="24"/>
      <c r="VD1" s="24"/>
      <c r="VE1" s="24"/>
      <c r="VF1" s="24"/>
      <c r="VG1" s="24"/>
      <c r="VH1" s="24"/>
      <c r="VI1" s="24"/>
      <c r="VJ1" s="24"/>
      <c r="VK1" s="24"/>
      <c r="VL1" s="24"/>
      <c r="VM1" s="24"/>
      <c r="VN1" s="24"/>
      <c r="VO1" s="24"/>
      <c r="VP1" s="24"/>
      <c r="VQ1" s="24"/>
      <c r="VR1" s="24"/>
      <c r="VS1" s="24"/>
      <c r="VT1" s="24"/>
      <c r="VU1" s="24"/>
      <c r="VV1" s="24"/>
      <c r="VW1" s="24"/>
      <c r="VX1" s="24"/>
      <c r="VY1" s="24"/>
      <c r="VZ1" s="24"/>
      <c r="WA1" s="24"/>
      <c r="WB1" s="24"/>
      <c r="WC1" s="24"/>
      <c r="WD1" s="24"/>
      <c r="WE1" s="24"/>
      <c r="WF1" s="24"/>
      <c r="WG1" s="24"/>
      <c r="WH1" s="24"/>
      <c r="WI1" s="24"/>
      <c r="WJ1" s="24"/>
      <c r="WK1" s="24"/>
      <c r="WL1" s="24"/>
      <c r="WM1" s="24"/>
      <c r="WN1" s="24"/>
      <c r="WO1" s="24"/>
      <c r="WP1" s="24"/>
      <c r="WQ1" s="24"/>
      <c r="WR1" s="24"/>
      <c r="WS1" s="24"/>
      <c r="WT1" s="24"/>
      <c r="WU1" s="24"/>
      <c r="WV1" s="24"/>
      <c r="WW1" s="24"/>
      <c r="WX1" s="24"/>
      <c r="WY1" s="24"/>
      <c r="WZ1" s="24"/>
      <c r="XA1" s="24"/>
      <c r="XB1" s="24"/>
      <c r="XC1" s="24"/>
      <c r="XD1" s="24"/>
      <c r="XE1" s="24"/>
      <c r="XF1" s="24"/>
      <c r="XG1" s="24"/>
      <c r="XH1" s="24"/>
      <c r="XI1" s="24"/>
      <c r="XJ1" s="24"/>
      <c r="XK1" s="24"/>
      <c r="XL1" s="24"/>
      <c r="XM1" s="24"/>
      <c r="XN1" s="24"/>
      <c r="XO1" s="24"/>
      <c r="XP1" s="24"/>
      <c r="XQ1" s="24"/>
      <c r="XR1" s="24"/>
      <c r="XS1" s="24"/>
      <c r="XT1" s="24"/>
      <c r="XU1" s="24"/>
      <c r="XV1" s="24"/>
      <c r="XW1" s="24"/>
      <c r="XX1" s="24"/>
      <c r="XY1" s="24"/>
      <c r="XZ1" s="24"/>
      <c r="YA1" s="24"/>
      <c r="YB1" s="24"/>
      <c r="YC1" s="24"/>
      <c r="YD1" s="24"/>
      <c r="YE1" s="24"/>
      <c r="YF1" s="24"/>
      <c r="YG1" s="24"/>
      <c r="YH1" s="24"/>
      <c r="YI1" s="24"/>
      <c r="YJ1" s="24"/>
      <c r="YK1" s="24"/>
      <c r="YL1" s="24"/>
      <c r="YM1" s="24"/>
      <c r="YN1" s="24"/>
      <c r="YO1" s="24"/>
      <c r="YP1" s="24"/>
      <c r="YQ1" s="24"/>
      <c r="YR1" s="24"/>
      <c r="YS1" s="24"/>
      <c r="YT1" s="24"/>
      <c r="YU1" s="24"/>
      <c r="YV1" s="24"/>
      <c r="YW1" s="24"/>
      <c r="YX1" s="24"/>
      <c r="YY1" s="24"/>
      <c r="YZ1" s="24"/>
      <c r="ZA1" s="24"/>
      <c r="ZB1" s="24"/>
      <c r="ZC1" s="24"/>
      <c r="ZD1" s="24"/>
      <c r="ZE1" s="24"/>
      <c r="ZF1" s="24"/>
      <c r="ZG1" s="24"/>
      <c r="ZH1" s="24"/>
      <c r="ZI1" s="24"/>
      <c r="ZJ1" s="24"/>
      <c r="ZK1" s="24"/>
      <c r="ZL1" s="24"/>
      <c r="ZM1" s="24"/>
      <c r="ZN1" s="24"/>
      <c r="ZO1" s="24"/>
      <c r="ZP1" s="24"/>
      <c r="ZQ1" s="24"/>
      <c r="ZR1" s="24"/>
      <c r="ZS1" s="24"/>
      <c r="ZT1" s="24"/>
      <c r="ZU1" s="24"/>
      <c r="ZV1" s="24"/>
      <c r="ZW1" s="24"/>
      <c r="ZX1" s="24"/>
      <c r="ZY1" s="24"/>
      <c r="ZZ1" s="24"/>
      <c r="AAA1" s="24"/>
      <c r="AAB1" s="24"/>
      <c r="AAC1" s="24"/>
      <c r="AAD1" s="24"/>
      <c r="AAE1" s="24"/>
      <c r="AAF1" s="24"/>
      <c r="AAG1" s="24"/>
      <c r="AAH1" s="24"/>
      <c r="AAI1" s="24"/>
      <c r="AAJ1" s="24"/>
      <c r="AAK1" s="24"/>
      <c r="AAL1" s="24"/>
      <c r="AAM1" s="24"/>
      <c r="AAN1" s="24"/>
      <c r="AAO1" s="24"/>
      <c r="AAP1" s="24"/>
      <c r="AAQ1" s="24"/>
      <c r="AAR1" s="24"/>
      <c r="AAS1" s="24"/>
      <c r="AAT1" s="24"/>
      <c r="AAU1" s="24"/>
      <c r="AAV1" s="24"/>
      <c r="AAW1" s="24"/>
      <c r="AAX1" s="24"/>
      <c r="AAY1" s="24"/>
      <c r="AAZ1" s="24"/>
      <c r="ABA1" s="24"/>
      <c r="ABB1" s="24"/>
      <c r="ABC1" s="24"/>
      <c r="ABD1" s="24"/>
      <c r="ABE1" s="24"/>
      <c r="ABF1" s="24"/>
      <c r="ABG1" s="24"/>
      <c r="ABH1" s="24"/>
      <c r="ABI1" s="24"/>
      <c r="ABJ1" s="24"/>
      <c r="ABK1" s="24"/>
      <c r="ABL1" s="24"/>
      <c r="ABM1" s="24"/>
      <c r="ABN1" s="24"/>
      <c r="ABO1" s="24"/>
      <c r="ABP1" s="24"/>
      <c r="ABQ1" s="24"/>
      <c r="ABR1" s="24"/>
      <c r="ABS1" s="24"/>
      <c r="ABT1" s="24"/>
      <c r="ABU1" s="24"/>
      <c r="ABV1" s="24"/>
      <c r="ABW1" s="24"/>
      <c r="ABX1" s="24"/>
      <c r="ABY1" s="24"/>
      <c r="ABZ1" s="24"/>
      <c r="ACA1" s="24"/>
      <c r="ACB1" s="24"/>
      <c r="ACC1" s="24"/>
      <c r="ACD1" s="24"/>
      <c r="ACE1" s="24"/>
      <c r="ACF1" s="24"/>
      <c r="ACG1" s="24"/>
      <c r="ACH1" s="24"/>
      <c r="ACI1" s="24"/>
      <c r="ACJ1" s="24"/>
      <c r="ACK1" s="24"/>
      <c r="ACL1" s="24"/>
      <c r="ACM1" s="24"/>
      <c r="ACN1" s="24"/>
      <c r="ACO1" s="24"/>
      <c r="ACP1" s="24"/>
      <c r="ACQ1" s="24"/>
      <c r="ACR1" s="24"/>
      <c r="ACS1" s="24"/>
      <c r="ACT1" s="24"/>
      <c r="ACU1" s="24"/>
      <c r="ACV1" s="24"/>
      <c r="ACW1" s="24"/>
      <c r="ACX1" s="24"/>
      <c r="ACY1" s="24"/>
      <c r="ACZ1" s="24"/>
      <c r="ADA1" s="24"/>
      <c r="ADB1" s="24"/>
      <c r="ADC1" s="24"/>
      <c r="ADD1" s="24"/>
      <c r="ADE1" s="24"/>
      <c r="ADF1" s="24"/>
      <c r="ADG1" s="24"/>
      <c r="ADH1" s="24"/>
      <c r="ADI1" s="24"/>
      <c r="ADJ1" s="24"/>
      <c r="ADK1" s="24"/>
      <c r="ADL1" s="24"/>
      <c r="ADM1" s="24"/>
      <c r="ADN1" s="24"/>
      <c r="ADO1" s="24"/>
      <c r="ADP1" s="24"/>
      <c r="ADQ1" s="24"/>
      <c r="ADR1" s="24"/>
      <c r="ADS1" s="24"/>
      <c r="ADT1" s="24"/>
      <c r="ADU1" s="24"/>
      <c r="ADV1" s="24"/>
      <c r="ADW1" s="24"/>
      <c r="ADX1" s="24"/>
      <c r="ADY1" s="24"/>
      <c r="ADZ1" s="24"/>
      <c r="AEA1" s="24"/>
      <c r="AEB1" s="24"/>
      <c r="AEC1" s="24"/>
      <c r="AED1" s="24"/>
      <c r="AEE1" s="24"/>
      <c r="AEF1" s="24"/>
      <c r="AEG1" s="24"/>
      <c r="AEH1" s="24"/>
      <c r="AEI1" s="24"/>
      <c r="AEJ1" s="24"/>
      <c r="AEK1" s="24"/>
      <c r="AEL1" s="24"/>
      <c r="AEM1" s="24"/>
      <c r="AEN1" s="24"/>
      <c r="AEO1" s="24"/>
      <c r="AEP1" s="24"/>
      <c r="AEQ1" s="24"/>
      <c r="AER1" s="24"/>
      <c r="AES1" s="24"/>
      <c r="AET1" s="24"/>
      <c r="AEU1" s="24"/>
      <c r="AEV1" s="24"/>
      <c r="AEW1" s="24"/>
      <c r="AEX1" s="24"/>
      <c r="AEY1" s="24"/>
      <c r="AEZ1" s="24"/>
      <c r="AFA1" s="24"/>
      <c r="AFB1" s="24"/>
      <c r="AFC1" s="24"/>
      <c r="AFD1" s="24"/>
      <c r="AFE1" s="24"/>
      <c r="AFF1" s="24"/>
      <c r="AFG1" s="24"/>
      <c r="AFH1" s="24"/>
      <c r="AFI1" s="24"/>
      <c r="AFJ1" s="24"/>
      <c r="AFK1" s="24"/>
      <c r="AFL1" s="24"/>
      <c r="AFM1" s="24"/>
      <c r="AFN1" s="24"/>
      <c r="AFO1" s="24"/>
      <c r="AFP1" s="24"/>
      <c r="AFQ1" s="24"/>
      <c r="AFR1" s="24"/>
      <c r="AFS1" s="24"/>
      <c r="AFT1" s="24"/>
      <c r="AFU1" s="24"/>
      <c r="AFV1" s="24"/>
      <c r="AFW1" s="24"/>
      <c r="AFX1" s="24"/>
      <c r="AFY1" s="24"/>
      <c r="AFZ1" s="24"/>
      <c r="AGA1" s="24"/>
      <c r="AGB1" s="24"/>
      <c r="AGC1" s="24"/>
      <c r="AGD1" s="24"/>
      <c r="AGE1" s="24"/>
      <c r="AGF1" s="24"/>
      <c r="AGG1" s="24"/>
      <c r="AGH1" s="24"/>
      <c r="AGI1" s="24"/>
      <c r="AGJ1" s="24"/>
      <c r="AGK1" s="24"/>
      <c r="AGL1" s="24"/>
      <c r="AGM1" s="24"/>
      <c r="AGN1" s="24"/>
      <c r="AGO1" s="24"/>
      <c r="AGP1" s="24"/>
      <c r="AGQ1" s="24"/>
      <c r="AGR1" s="24"/>
      <c r="AGS1" s="24"/>
      <c r="AGT1" s="24"/>
      <c r="AGU1" s="24"/>
      <c r="AGV1" s="24"/>
      <c r="AGW1" s="24"/>
      <c r="AGX1" s="24"/>
      <c r="AGY1" s="24"/>
      <c r="AGZ1" s="24"/>
      <c r="AHA1" s="24"/>
      <c r="AHB1" s="24"/>
      <c r="AHC1" s="24"/>
      <c r="AHD1" s="24"/>
      <c r="AHE1" s="24"/>
      <c r="AHF1" s="24"/>
      <c r="AHG1" s="24"/>
      <c r="AHH1" s="24"/>
      <c r="AHI1" s="24"/>
      <c r="AHJ1" s="24"/>
      <c r="AHK1" s="24"/>
      <c r="AHL1" s="24"/>
      <c r="AHM1" s="24"/>
      <c r="AHN1" s="24"/>
      <c r="AHO1" s="24"/>
      <c r="AHP1" s="24"/>
      <c r="AHQ1" s="24"/>
      <c r="AHR1" s="24"/>
      <c r="AHS1" s="24"/>
      <c r="AHT1" s="24"/>
      <c r="AHU1" s="24"/>
      <c r="AHV1" s="24"/>
      <c r="AHW1" s="24"/>
      <c r="AHX1" s="24"/>
      <c r="AHY1" s="24"/>
      <c r="AHZ1" s="24"/>
      <c r="AIA1" s="24"/>
      <c r="AIB1" s="24"/>
      <c r="AIC1" s="24"/>
      <c r="AID1" s="24"/>
      <c r="AIE1" s="24"/>
      <c r="AIF1" s="24"/>
      <c r="AIG1" s="24"/>
      <c r="AIH1" s="24"/>
      <c r="AII1" s="24"/>
      <c r="AIJ1" s="24"/>
      <c r="AIK1" s="24"/>
      <c r="AIL1" s="24"/>
      <c r="AIM1" s="24"/>
      <c r="AIN1" s="24"/>
      <c r="AIO1" s="24"/>
      <c r="AIP1" s="24"/>
      <c r="AIQ1" s="24"/>
      <c r="AIR1" s="24"/>
      <c r="AIS1" s="24"/>
      <c r="AIT1" s="24"/>
      <c r="AIU1" s="24"/>
      <c r="AIV1" s="24"/>
      <c r="AIW1" s="24"/>
      <c r="AIX1" s="24"/>
      <c r="AIY1" s="24"/>
      <c r="AIZ1" s="24"/>
      <c r="AJA1" s="24"/>
      <c r="AJB1" s="24"/>
      <c r="AJC1" s="24"/>
      <c r="AJD1" s="24"/>
      <c r="AJE1" s="24"/>
      <c r="AJF1" s="24"/>
      <c r="AJG1" s="24"/>
      <c r="AJH1" s="24"/>
      <c r="AJI1" s="24"/>
      <c r="AJJ1" s="24"/>
      <c r="AJK1" s="24"/>
      <c r="AJL1" s="24"/>
      <c r="AJM1" s="24"/>
      <c r="AJN1" s="24"/>
      <c r="AJO1" s="24"/>
      <c r="AJP1" s="24"/>
      <c r="AJQ1" s="24"/>
      <c r="AJR1" s="24"/>
      <c r="AJS1" s="24"/>
      <c r="AJT1" s="24"/>
      <c r="AJU1" s="24"/>
      <c r="AJV1" s="24"/>
      <c r="AJW1" s="24"/>
      <c r="AJX1" s="24"/>
      <c r="AJY1" s="24"/>
      <c r="AJZ1" s="24"/>
      <c r="AKA1" s="24"/>
      <c r="AKB1" s="24"/>
      <c r="AKC1" s="24"/>
      <c r="AKD1" s="24"/>
      <c r="AKE1" s="24"/>
      <c r="AKF1" s="24"/>
      <c r="AKG1" s="24"/>
      <c r="AKH1" s="24"/>
      <c r="AKI1" s="24"/>
      <c r="AKJ1" s="24"/>
      <c r="AKK1" s="24"/>
      <c r="AKL1" s="24"/>
      <c r="AKM1" s="24"/>
      <c r="AKN1" s="24"/>
      <c r="AKO1" s="24"/>
      <c r="AKP1" s="24"/>
      <c r="AKQ1" s="24"/>
      <c r="AKR1" s="24"/>
      <c r="AKS1" s="24"/>
      <c r="AKT1" s="24"/>
      <c r="AKU1" s="24"/>
      <c r="AKV1" s="24"/>
      <c r="AKW1" s="24"/>
      <c r="AKX1" s="24"/>
      <c r="AKY1" s="24"/>
      <c r="AKZ1" s="24"/>
      <c r="ALA1" s="24"/>
      <c r="ALB1" s="24"/>
      <c r="ALC1" s="24"/>
      <c r="ALD1" s="24"/>
      <c r="ALE1" s="24"/>
      <c r="ALF1" s="24"/>
      <c r="ALG1" s="24"/>
      <c r="ALH1" s="24"/>
      <c r="ALI1" s="24"/>
      <c r="ALJ1" s="24"/>
      <c r="ALK1" s="24"/>
      <c r="ALL1" s="24"/>
      <c r="ALM1" s="24"/>
      <c r="ALN1" s="24"/>
      <c r="ALO1" s="24"/>
      <c r="ALP1" s="24"/>
      <c r="ALQ1" s="24"/>
      <c r="ALR1" s="24"/>
      <c r="ALS1" s="24"/>
      <c r="ALT1" s="24"/>
      <c r="ALU1" s="24"/>
      <c r="ALV1" s="24"/>
      <c r="ALW1" s="24"/>
      <c r="ALX1" s="24"/>
      <c r="ALY1" s="24"/>
      <c r="ALZ1" s="24"/>
      <c r="AMA1" s="24"/>
      <c r="AMB1" s="24"/>
      <c r="AMC1" s="24"/>
      <c r="AMD1" s="24"/>
      <c r="AME1" s="24"/>
      <c r="AMF1" s="24"/>
      <c r="AMG1" s="24"/>
      <c r="AMH1" s="24"/>
      <c r="AMI1" s="24"/>
      <c r="AMJ1" s="24"/>
      <c r="AMK1" s="24"/>
      <c r="AML1" s="24"/>
      <c r="AMM1" s="24"/>
      <c r="AMN1" s="24"/>
      <c r="AMO1" s="24"/>
      <c r="AMP1" s="24"/>
      <c r="AMQ1" s="24"/>
      <c r="AMR1" s="24"/>
      <c r="AMS1" s="24"/>
      <c r="AMT1" s="24"/>
      <c r="AMU1" s="24"/>
      <c r="AMV1" s="24"/>
      <c r="AMW1" s="24"/>
      <c r="AMX1" s="24"/>
      <c r="AMY1" s="24"/>
      <c r="AMZ1" s="24"/>
      <c r="ANA1" s="24"/>
      <c r="ANB1" s="24"/>
      <c r="ANC1" s="24"/>
      <c r="AND1" s="24"/>
      <c r="ANE1" s="24"/>
      <c r="ANF1" s="24"/>
      <c r="ANG1" s="24"/>
      <c r="ANH1" s="24"/>
      <c r="ANI1" s="24"/>
      <c r="ANJ1" s="24"/>
      <c r="ANK1" s="24"/>
      <c r="ANL1" s="24"/>
      <c r="ANM1" s="24"/>
      <c r="ANN1" s="24"/>
      <c r="ANO1" s="24"/>
      <c r="ANP1" s="24"/>
      <c r="ANQ1" s="24"/>
      <c r="ANR1" s="24"/>
      <c r="ANS1" s="24"/>
      <c r="ANT1" s="24"/>
      <c r="ANU1" s="24"/>
      <c r="ANV1" s="24"/>
      <c r="ANW1" s="24"/>
      <c r="ANX1" s="24"/>
      <c r="ANY1" s="24"/>
      <c r="ANZ1" s="24"/>
      <c r="AOA1" s="24"/>
      <c r="AOB1" s="24"/>
      <c r="AOC1" s="24"/>
      <c r="AOD1" s="24"/>
      <c r="AOE1" s="24"/>
      <c r="AOF1" s="24"/>
      <c r="AOG1" s="24"/>
      <c r="AOH1" s="24"/>
      <c r="AOI1" s="24"/>
      <c r="AOJ1" s="24"/>
      <c r="AOK1" s="24"/>
      <c r="AOL1" s="24"/>
      <c r="AOM1" s="24"/>
      <c r="AON1" s="24"/>
      <c r="AOO1" s="24"/>
      <c r="AOP1" s="24"/>
      <c r="AOQ1" s="24"/>
      <c r="AOR1" s="24"/>
      <c r="AOS1" s="24"/>
      <c r="AOT1" s="24"/>
      <c r="AOU1" s="24"/>
      <c r="AOV1" s="24"/>
      <c r="AOW1" s="24"/>
      <c r="AOX1" s="24"/>
      <c r="AOY1" s="24"/>
      <c r="AOZ1" s="24"/>
      <c r="APA1" s="24"/>
      <c r="APB1" s="24"/>
      <c r="APC1" s="24"/>
      <c r="APD1" s="24"/>
      <c r="APE1" s="24"/>
      <c r="APF1" s="24"/>
      <c r="APG1" s="24"/>
      <c r="APH1" s="24"/>
      <c r="API1" s="24"/>
      <c r="APJ1" s="24"/>
      <c r="APK1" s="24"/>
      <c r="APL1" s="24"/>
      <c r="APM1" s="24"/>
      <c r="APN1" s="24"/>
      <c r="APO1" s="24"/>
      <c r="APP1" s="24"/>
      <c r="APQ1" s="24"/>
      <c r="APR1" s="24"/>
      <c r="APS1" s="24"/>
      <c r="APT1" s="24"/>
      <c r="APU1" s="24"/>
      <c r="APV1" s="24"/>
      <c r="APW1" s="24"/>
      <c r="APX1" s="24"/>
      <c r="APY1" s="24"/>
      <c r="APZ1" s="24"/>
      <c r="AQA1" s="24"/>
      <c r="AQB1" s="24"/>
      <c r="AQC1" s="24"/>
      <c r="AQD1" s="24"/>
      <c r="AQE1" s="24"/>
      <c r="AQF1" s="24"/>
      <c r="AQG1" s="24"/>
      <c r="AQH1" s="24"/>
      <c r="AQI1" s="24"/>
      <c r="AQJ1" s="24"/>
      <c r="AQK1" s="24"/>
      <c r="AQL1" s="24"/>
      <c r="AQM1" s="24"/>
      <c r="AQN1" s="24"/>
      <c r="AQO1" s="24"/>
      <c r="AQP1" s="24"/>
      <c r="AQQ1" s="24"/>
      <c r="AQR1" s="24"/>
      <c r="AQS1" s="24"/>
      <c r="AQT1" s="24"/>
      <c r="AQU1" s="24"/>
      <c r="AQV1" s="24"/>
      <c r="AQW1" s="24"/>
      <c r="AQX1" s="24"/>
      <c r="AQY1" s="24"/>
      <c r="AQZ1" s="24"/>
      <c r="ARA1" s="24"/>
      <c r="ARB1" s="24"/>
      <c r="ARC1" s="24"/>
      <c r="ARD1" s="24"/>
      <c r="ARE1" s="24"/>
      <c r="ARF1" s="24"/>
      <c r="ARG1" s="24"/>
      <c r="ARH1" s="24"/>
      <c r="ARI1" s="24"/>
      <c r="ARJ1" s="24"/>
      <c r="ARK1" s="24"/>
      <c r="ARL1" s="24"/>
      <c r="ARM1" s="24"/>
      <c r="ARN1" s="24"/>
      <c r="ARO1" s="24"/>
      <c r="ARP1" s="24"/>
      <c r="ARQ1" s="24"/>
      <c r="ARR1" s="24"/>
      <c r="ARS1" s="24"/>
      <c r="ART1" s="24"/>
      <c r="ARU1" s="24"/>
      <c r="ARV1" s="24"/>
      <c r="ARW1" s="24"/>
      <c r="ARX1" s="24"/>
      <c r="ARY1" s="24"/>
      <c r="ARZ1" s="24"/>
      <c r="ASA1" s="24"/>
      <c r="ASB1" s="24"/>
      <c r="ASC1" s="24"/>
      <c r="ASD1" s="24"/>
      <c r="ASE1" s="24"/>
      <c r="ASF1" s="24"/>
      <c r="ASG1" s="24"/>
      <c r="ASH1" s="24"/>
      <c r="ASI1" s="24"/>
      <c r="ASJ1" s="24"/>
      <c r="ASK1" s="24"/>
      <c r="ASL1" s="24"/>
      <c r="ASM1" s="24"/>
      <c r="ASN1" s="24"/>
      <c r="ASO1" s="24"/>
      <c r="ASP1" s="24"/>
      <c r="ASQ1" s="24"/>
      <c r="ASR1" s="24"/>
      <c r="ASS1" s="24"/>
      <c r="AST1" s="24"/>
      <c r="ASU1" s="24"/>
      <c r="ASV1" s="24"/>
      <c r="ASW1" s="24"/>
      <c r="ASX1" s="24"/>
      <c r="ASY1" s="24"/>
      <c r="ASZ1" s="24"/>
      <c r="ATA1" s="24"/>
      <c r="ATB1" s="24"/>
      <c r="ATC1" s="24"/>
      <c r="ATD1" s="24"/>
      <c r="ATE1" s="24"/>
      <c r="ATF1" s="24"/>
      <c r="ATG1" s="24"/>
      <c r="ATH1" s="24"/>
      <c r="ATI1" s="24"/>
      <c r="ATJ1" s="24"/>
      <c r="ATK1" s="24"/>
      <c r="ATL1" s="24"/>
      <c r="ATM1" s="24"/>
      <c r="ATN1" s="24"/>
      <c r="ATO1" s="24"/>
      <c r="ATP1" s="24"/>
      <c r="ATQ1" s="24"/>
      <c r="ATR1" s="24"/>
      <c r="ATS1" s="24"/>
      <c r="ATT1" s="24"/>
      <c r="ATU1" s="24"/>
      <c r="ATV1" s="24"/>
      <c r="ATW1" s="24"/>
      <c r="ATX1" s="24"/>
      <c r="ATY1" s="24"/>
      <c r="ATZ1" s="24"/>
      <c r="AUA1" s="24"/>
      <c r="AUB1" s="24"/>
      <c r="AUC1" s="24"/>
      <c r="AUD1" s="24"/>
      <c r="AUE1" s="24"/>
      <c r="AUF1" s="24"/>
      <c r="AUG1" s="24"/>
      <c r="AUH1" s="24"/>
      <c r="AUI1" s="24"/>
      <c r="AUJ1" s="24"/>
      <c r="AUK1" s="24"/>
      <c r="AUL1" s="24"/>
      <c r="AUM1" s="24"/>
      <c r="AUN1" s="24"/>
      <c r="AUO1" s="24"/>
      <c r="AUP1" s="24"/>
      <c r="AUQ1" s="24"/>
      <c r="AUR1" s="24"/>
      <c r="AUS1" s="24"/>
      <c r="AUT1" s="24"/>
      <c r="AUU1" s="24"/>
      <c r="AUV1" s="24"/>
      <c r="AUW1" s="24"/>
      <c r="AUX1" s="24"/>
      <c r="AUY1" s="24"/>
      <c r="AUZ1" s="24"/>
      <c r="AVA1" s="24"/>
      <c r="AVB1" s="24"/>
      <c r="AVC1" s="24"/>
      <c r="AVD1" s="24"/>
      <c r="AVE1" s="24"/>
      <c r="AVF1" s="24"/>
      <c r="AVG1" s="24"/>
      <c r="AVH1" s="24"/>
      <c r="AVI1" s="24"/>
      <c r="AVJ1" s="24"/>
      <c r="AVK1" s="24"/>
      <c r="AVL1" s="24"/>
      <c r="AVM1" s="24"/>
      <c r="AVN1" s="24"/>
      <c r="AVO1" s="24"/>
      <c r="AVP1" s="24"/>
      <c r="AVQ1" s="24"/>
      <c r="AVR1" s="24"/>
      <c r="AVS1" s="24"/>
      <c r="AVT1" s="24"/>
      <c r="AVU1" s="24"/>
      <c r="AVV1" s="24"/>
      <c r="AVW1" s="24"/>
      <c r="AVX1" s="24"/>
      <c r="AVY1" s="24"/>
      <c r="AVZ1" s="24"/>
      <c r="AWA1" s="24"/>
      <c r="AWB1" s="24"/>
      <c r="AWC1" s="24"/>
      <c r="AWD1" s="24"/>
      <c r="AWE1" s="24"/>
      <c r="AWF1" s="24"/>
      <c r="AWG1" s="24"/>
      <c r="AWH1" s="24"/>
      <c r="AWI1" s="24"/>
      <c r="AWJ1" s="24"/>
      <c r="AWK1" s="24"/>
      <c r="AWL1" s="24"/>
      <c r="AWM1" s="24"/>
      <c r="AWN1" s="24"/>
      <c r="AWO1" s="24"/>
      <c r="AWP1" s="24"/>
      <c r="AWQ1" s="24"/>
      <c r="AWR1" s="24"/>
      <c r="AWS1" s="24"/>
      <c r="AWT1" s="24"/>
      <c r="AWU1" s="24"/>
      <c r="AWV1" s="24"/>
      <c r="AWW1" s="24"/>
      <c r="AWX1" s="24"/>
      <c r="AWY1" s="24"/>
      <c r="AWZ1" s="24"/>
      <c r="AXA1" s="24"/>
      <c r="AXB1" s="24"/>
      <c r="AXC1" s="24"/>
      <c r="AXD1" s="24"/>
      <c r="AXE1" s="24"/>
      <c r="AXF1" s="24"/>
      <c r="AXG1" s="24"/>
      <c r="AXH1" s="24"/>
      <c r="AXI1" s="24"/>
      <c r="AXJ1" s="24"/>
      <c r="AXK1" s="24"/>
      <c r="AXL1" s="24"/>
      <c r="AXM1" s="24"/>
      <c r="AXN1" s="24"/>
      <c r="AXO1" s="24"/>
      <c r="AXP1" s="24"/>
      <c r="AXQ1" s="24"/>
      <c r="AXR1" s="24"/>
      <c r="AXS1" s="24"/>
      <c r="AXT1" s="24"/>
      <c r="AXU1" s="24"/>
      <c r="AXV1" s="24"/>
      <c r="AXW1" s="24"/>
      <c r="AXX1" s="24"/>
      <c r="AXY1" s="24"/>
      <c r="AXZ1" s="24"/>
      <c r="AYA1" s="24"/>
      <c r="AYB1" s="24"/>
      <c r="AYC1" s="24"/>
      <c r="AYD1" s="24"/>
      <c r="AYE1" s="24"/>
      <c r="AYF1" s="24"/>
      <c r="AYG1" s="24"/>
      <c r="AYH1" s="24"/>
      <c r="AYI1" s="24"/>
      <c r="AYJ1" s="24"/>
      <c r="AYK1" s="24"/>
      <c r="AYL1" s="24"/>
      <c r="AYM1" s="24"/>
      <c r="AYN1" s="24"/>
      <c r="AYO1" s="24"/>
      <c r="AYP1" s="24"/>
      <c r="AYQ1" s="24"/>
      <c r="AYR1" s="24"/>
      <c r="AYS1" s="24"/>
      <c r="AYT1" s="24"/>
      <c r="AYU1" s="24"/>
      <c r="AYV1" s="24"/>
      <c r="AYW1" s="24"/>
      <c r="AYX1" s="24"/>
      <c r="AYY1" s="24"/>
      <c r="AYZ1" s="24"/>
      <c r="AZA1" s="24"/>
      <c r="AZB1" s="24"/>
      <c r="AZC1" s="24"/>
      <c r="AZD1" s="24"/>
      <c r="AZE1" s="24"/>
      <c r="AZF1" s="24"/>
      <c r="AZG1" s="24"/>
      <c r="AZH1" s="24"/>
      <c r="AZI1" s="24"/>
      <c r="AZJ1" s="24"/>
      <c r="AZK1" s="24"/>
      <c r="AZL1" s="24"/>
      <c r="AZM1" s="24"/>
      <c r="AZN1" s="24"/>
      <c r="AZO1" s="24"/>
      <c r="AZP1" s="24"/>
      <c r="AZQ1" s="24"/>
      <c r="AZR1" s="24"/>
      <c r="AZS1" s="24"/>
      <c r="AZT1" s="24"/>
      <c r="AZU1" s="24"/>
      <c r="AZV1" s="24"/>
      <c r="AZW1" s="24"/>
      <c r="AZX1" s="24"/>
      <c r="AZY1" s="24"/>
      <c r="AZZ1" s="24"/>
      <c r="BAA1" s="24"/>
      <c r="BAB1" s="24"/>
      <c r="BAC1" s="24"/>
      <c r="BAD1" s="24"/>
      <c r="BAE1" s="24"/>
      <c r="BAF1" s="24"/>
      <c r="BAG1" s="24"/>
      <c r="BAH1" s="24"/>
      <c r="BAI1" s="24"/>
      <c r="BAJ1" s="24"/>
      <c r="BAK1" s="24"/>
      <c r="BAL1" s="24"/>
      <c r="BAM1" s="24"/>
      <c r="BAN1" s="24"/>
      <c r="BAO1" s="24"/>
      <c r="BAP1" s="24"/>
      <c r="BAQ1" s="24"/>
      <c r="BAR1" s="24"/>
      <c r="BAS1" s="24"/>
      <c r="BAT1" s="24"/>
      <c r="BAU1" s="24"/>
      <c r="BAV1" s="24"/>
      <c r="BAW1" s="24"/>
      <c r="BAX1" s="24"/>
      <c r="BAY1" s="24"/>
      <c r="BAZ1" s="24"/>
      <c r="BBA1" s="24"/>
      <c r="BBB1" s="24"/>
      <c r="BBC1" s="24"/>
      <c r="BBD1" s="24"/>
      <c r="BBE1" s="24"/>
      <c r="BBF1" s="24"/>
      <c r="BBG1" s="24"/>
      <c r="BBH1" s="24"/>
      <c r="BBI1" s="24"/>
      <c r="BBJ1" s="24"/>
      <c r="BBK1" s="24"/>
      <c r="BBL1" s="24"/>
      <c r="BBM1" s="24"/>
      <c r="BBN1" s="24"/>
      <c r="BBO1" s="24"/>
      <c r="BBP1" s="24"/>
      <c r="BBQ1" s="24"/>
      <c r="BBR1" s="24"/>
    </row>
    <row r="2" spans="1:1422" s="68" customFormat="1" ht="35.4" customHeight="1" thickBot="1" x14ac:dyDescent="0.65">
      <c r="A2" s="71"/>
      <c r="C2" s="69" t="s">
        <v>369</v>
      </c>
      <c r="D2" s="70"/>
      <c r="E2" s="70"/>
      <c r="F2" s="70"/>
      <c r="G2" s="70"/>
      <c r="H2" s="70"/>
      <c r="I2" s="70"/>
      <c r="J2" s="70"/>
      <c r="K2" s="70"/>
      <c r="L2" s="40"/>
      <c r="M2" s="40"/>
      <c r="N2" s="40"/>
      <c r="O2" s="40"/>
      <c r="P2" s="40"/>
      <c r="Q2" s="40"/>
      <c r="R2" s="40"/>
      <c r="S2" s="40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</row>
    <row r="3" spans="1:1422" s="40" customFormat="1" ht="15" thickTop="1" x14ac:dyDescent="0.3">
      <c r="A3" s="56"/>
      <c r="C3" s="41"/>
      <c r="D3" s="24"/>
      <c r="E3" s="24"/>
      <c r="F3" s="24"/>
      <c r="G3" s="24"/>
      <c r="H3" s="24"/>
      <c r="J3" s="24"/>
      <c r="K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  <c r="CK3" s="24"/>
      <c r="CL3" s="24"/>
      <c r="CM3" s="24"/>
      <c r="CN3" s="24"/>
      <c r="CO3" s="24"/>
      <c r="CP3" s="24"/>
      <c r="CQ3" s="24"/>
      <c r="CR3" s="24"/>
      <c r="CS3" s="24"/>
      <c r="CT3" s="24"/>
      <c r="CU3" s="24"/>
      <c r="CV3" s="24"/>
      <c r="CW3" s="24"/>
      <c r="CX3" s="24"/>
      <c r="CY3" s="24"/>
      <c r="CZ3" s="24"/>
      <c r="DA3" s="24"/>
      <c r="DB3" s="24"/>
      <c r="DC3" s="24"/>
      <c r="DD3" s="24"/>
      <c r="DE3" s="24"/>
      <c r="DF3" s="24"/>
      <c r="DG3" s="24"/>
      <c r="DH3" s="24"/>
      <c r="DI3" s="24"/>
      <c r="DJ3" s="24"/>
      <c r="DK3" s="24"/>
      <c r="DL3" s="24"/>
      <c r="DM3" s="24"/>
      <c r="DN3" s="24"/>
      <c r="DO3" s="24"/>
      <c r="DP3" s="24"/>
      <c r="DQ3" s="24"/>
      <c r="DR3" s="24"/>
      <c r="DS3" s="24"/>
      <c r="DT3" s="24"/>
      <c r="DU3" s="24"/>
      <c r="DV3" s="24"/>
      <c r="DW3" s="24"/>
      <c r="DX3" s="24"/>
      <c r="DY3" s="24"/>
      <c r="DZ3" s="24"/>
      <c r="EA3" s="24"/>
      <c r="EB3" s="24"/>
      <c r="EC3" s="24"/>
      <c r="ED3" s="24"/>
      <c r="EE3" s="24"/>
      <c r="EF3" s="24"/>
      <c r="EG3" s="24"/>
      <c r="EH3" s="24"/>
      <c r="EI3" s="24"/>
      <c r="EJ3" s="24"/>
      <c r="EK3" s="24"/>
      <c r="EL3" s="24"/>
      <c r="EM3" s="24"/>
      <c r="EN3" s="24"/>
      <c r="EO3" s="24"/>
      <c r="EP3" s="24"/>
      <c r="EQ3" s="24"/>
      <c r="ER3" s="24"/>
      <c r="ES3" s="24"/>
      <c r="ET3" s="24"/>
      <c r="EU3" s="24"/>
      <c r="EV3" s="24"/>
      <c r="EW3" s="24"/>
      <c r="EX3" s="24"/>
      <c r="EY3" s="24"/>
      <c r="EZ3" s="24"/>
      <c r="FA3" s="24"/>
      <c r="FB3" s="24"/>
      <c r="FC3" s="24"/>
      <c r="FD3" s="24"/>
      <c r="FE3" s="24"/>
      <c r="FF3" s="24"/>
      <c r="FG3" s="24"/>
      <c r="FH3" s="24"/>
      <c r="FI3" s="24"/>
      <c r="FJ3" s="24"/>
      <c r="FK3" s="24"/>
      <c r="FL3" s="24"/>
      <c r="FM3" s="24"/>
      <c r="FN3" s="24"/>
      <c r="FO3" s="24"/>
      <c r="FP3" s="24"/>
      <c r="FQ3" s="24"/>
      <c r="FR3" s="24"/>
      <c r="FS3" s="24"/>
      <c r="FT3" s="24"/>
      <c r="FU3" s="24"/>
      <c r="FV3" s="24"/>
      <c r="FW3" s="24"/>
      <c r="FX3" s="24"/>
      <c r="FY3" s="24"/>
      <c r="FZ3" s="24"/>
      <c r="GA3" s="24"/>
      <c r="GB3" s="24"/>
      <c r="GC3" s="24"/>
      <c r="GD3" s="24"/>
      <c r="GE3" s="24"/>
      <c r="GF3" s="24"/>
      <c r="GG3" s="24"/>
      <c r="GH3" s="24"/>
      <c r="GI3" s="24"/>
      <c r="GJ3" s="24"/>
      <c r="GK3" s="24"/>
      <c r="GL3" s="24"/>
      <c r="GM3" s="24"/>
      <c r="GN3" s="24"/>
      <c r="GO3" s="24"/>
      <c r="GP3" s="24"/>
      <c r="GQ3" s="24"/>
      <c r="GR3" s="24"/>
      <c r="GS3" s="24"/>
      <c r="GT3" s="24"/>
      <c r="GU3" s="24"/>
      <c r="GV3" s="24"/>
      <c r="GW3" s="24"/>
      <c r="GX3" s="24"/>
      <c r="GY3" s="24"/>
      <c r="GZ3" s="24"/>
      <c r="HA3" s="24"/>
      <c r="HB3" s="24"/>
      <c r="HC3" s="24"/>
      <c r="HD3" s="24"/>
      <c r="HE3" s="24"/>
      <c r="HF3" s="24"/>
      <c r="HG3" s="24"/>
      <c r="HH3" s="24"/>
      <c r="HI3" s="24"/>
      <c r="HJ3" s="24"/>
      <c r="HK3" s="24"/>
      <c r="HL3" s="24"/>
      <c r="HM3" s="24"/>
      <c r="HN3" s="24"/>
      <c r="HO3" s="24"/>
      <c r="HP3" s="24"/>
      <c r="HQ3" s="24"/>
      <c r="HR3" s="24"/>
      <c r="HS3" s="24"/>
      <c r="HT3" s="24"/>
      <c r="HU3" s="24"/>
      <c r="HV3" s="24"/>
      <c r="HW3" s="24"/>
      <c r="HX3" s="24"/>
      <c r="HY3" s="24"/>
      <c r="HZ3" s="24"/>
      <c r="IA3" s="24"/>
      <c r="IB3" s="24"/>
      <c r="IC3" s="24"/>
      <c r="ID3" s="24"/>
      <c r="IE3" s="24"/>
      <c r="IF3" s="24"/>
      <c r="IG3" s="24"/>
      <c r="IH3" s="24"/>
      <c r="II3" s="24"/>
      <c r="IJ3" s="24"/>
      <c r="IK3" s="24"/>
      <c r="IL3" s="24"/>
      <c r="IM3" s="24"/>
      <c r="IN3" s="24"/>
      <c r="IO3" s="24"/>
      <c r="IP3" s="24"/>
      <c r="IQ3" s="24"/>
      <c r="IR3" s="24"/>
      <c r="IS3" s="24"/>
      <c r="IT3" s="24"/>
      <c r="IU3" s="24"/>
      <c r="IV3" s="24"/>
      <c r="IW3" s="24"/>
      <c r="IX3" s="24"/>
      <c r="IY3" s="24"/>
      <c r="IZ3" s="24"/>
      <c r="JA3" s="24"/>
      <c r="JB3" s="24"/>
      <c r="JC3" s="24"/>
      <c r="JD3" s="24"/>
      <c r="JE3" s="24"/>
      <c r="JF3" s="24"/>
      <c r="JG3" s="24"/>
      <c r="JH3" s="24"/>
      <c r="JI3" s="24"/>
      <c r="JJ3" s="24"/>
      <c r="JK3" s="24"/>
      <c r="JL3" s="24"/>
      <c r="JM3" s="24"/>
      <c r="JN3" s="24"/>
      <c r="JO3" s="24"/>
      <c r="JP3" s="24"/>
      <c r="JQ3" s="24"/>
      <c r="JR3" s="24"/>
      <c r="JS3" s="24"/>
      <c r="JT3" s="24"/>
      <c r="JU3" s="24"/>
      <c r="JV3" s="24"/>
      <c r="JW3" s="24"/>
      <c r="JX3" s="24"/>
      <c r="JY3" s="24"/>
      <c r="JZ3" s="24"/>
      <c r="KA3" s="24"/>
      <c r="KB3" s="24"/>
      <c r="KC3" s="24"/>
      <c r="KD3" s="24"/>
      <c r="KE3" s="24"/>
      <c r="KF3" s="24"/>
      <c r="KG3" s="24"/>
      <c r="KH3" s="24"/>
      <c r="KI3" s="24"/>
      <c r="KJ3" s="24"/>
      <c r="KK3" s="24"/>
      <c r="KL3" s="24"/>
      <c r="KM3" s="24"/>
      <c r="KN3" s="24"/>
      <c r="KO3" s="24"/>
      <c r="KP3" s="24"/>
      <c r="KQ3" s="24"/>
      <c r="KR3" s="24"/>
      <c r="KS3" s="24"/>
      <c r="KT3" s="24"/>
      <c r="KU3" s="24"/>
      <c r="KV3" s="24"/>
      <c r="KW3" s="24"/>
      <c r="KX3" s="24"/>
      <c r="KY3" s="24"/>
      <c r="KZ3" s="24"/>
      <c r="LA3" s="24"/>
      <c r="LB3" s="24"/>
      <c r="LC3" s="24"/>
      <c r="LD3" s="24"/>
      <c r="LE3" s="24"/>
      <c r="LF3" s="24"/>
      <c r="LG3" s="24"/>
      <c r="LH3" s="24"/>
      <c r="LI3" s="24"/>
      <c r="LJ3" s="24"/>
      <c r="LK3" s="24"/>
      <c r="LL3" s="24"/>
      <c r="LM3" s="24"/>
      <c r="LN3" s="24"/>
      <c r="LO3" s="24"/>
      <c r="LP3" s="24"/>
      <c r="LQ3" s="24"/>
      <c r="LR3" s="24"/>
      <c r="LS3" s="24"/>
      <c r="LT3" s="24"/>
      <c r="LU3" s="24"/>
      <c r="LV3" s="24"/>
      <c r="LW3" s="24"/>
      <c r="LX3" s="24"/>
      <c r="LY3" s="24"/>
      <c r="LZ3" s="24"/>
      <c r="MA3" s="24"/>
      <c r="MB3" s="24"/>
      <c r="MC3" s="24"/>
      <c r="MD3" s="24"/>
      <c r="ME3" s="24"/>
      <c r="MF3" s="24"/>
      <c r="MG3" s="24"/>
      <c r="MH3" s="24"/>
      <c r="MI3" s="24"/>
      <c r="MJ3" s="24"/>
      <c r="MK3" s="24"/>
      <c r="ML3" s="24"/>
      <c r="MM3" s="24"/>
      <c r="MN3" s="24"/>
      <c r="MO3" s="24"/>
      <c r="MP3" s="24"/>
      <c r="MQ3" s="24"/>
      <c r="MR3" s="24"/>
      <c r="MS3" s="24"/>
      <c r="MT3" s="24"/>
      <c r="MU3" s="24"/>
      <c r="MV3" s="24"/>
      <c r="MW3" s="24"/>
      <c r="MX3" s="24"/>
      <c r="MY3" s="24"/>
      <c r="MZ3" s="24"/>
      <c r="NA3" s="24"/>
      <c r="NB3" s="24"/>
      <c r="NC3" s="24"/>
      <c r="ND3" s="24"/>
      <c r="NE3" s="24"/>
      <c r="NF3" s="24"/>
      <c r="NG3" s="24"/>
      <c r="NH3" s="24"/>
      <c r="NI3" s="24"/>
      <c r="NJ3" s="24"/>
      <c r="NK3" s="24"/>
      <c r="NL3" s="24"/>
      <c r="NM3" s="24"/>
      <c r="NN3" s="24"/>
      <c r="NO3" s="24"/>
      <c r="NP3" s="24"/>
      <c r="NQ3" s="24"/>
      <c r="NR3" s="24"/>
      <c r="NS3" s="24"/>
      <c r="NT3" s="24"/>
      <c r="NU3" s="24"/>
      <c r="NV3" s="24"/>
      <c r="NW3" s="24"/>
      <c r="NX3" s="24"/>
      <c r="NY3" s="24"/>
      <c r="NZ3" s="24"/>
      <c r="OA3" s="24"/>
      <c r="OB3" s="24"/>
      <c r="OC3" s="24"/>
      <c r="OD3" s="24"/>
      <c r="OE3" s="24"/>
      <c r="OF3" s="24"/>
      <c r="OG3" s="24"/>
      <c r="OH3" s="24"/>
      <c r="OI3" s="24"/>
      <c r="OJ3" s="24"/>
      <c r="OK3" s="24"/>
      <c r="OL3" s="24"/>
      <c r="OM3" s="24"/>
      <c r="ON3" s="24"/>
      <c r="OO3" s="24"/>
      <c r="OP3" s="24"/>
      <c r="OQ3" s="24"/>
      <c r="OR3" s="24"/>
      <c r="OS3" s="24"/>
      <c r="OT3" s="24"/>
      <c r="OU3" s="24"/>
      <c r="OV3" s="24"/>
      <c r="OW3" s="24"/>
      <c r="OX3" s="24"/>
      <c r="OY3" s="24"/>
      <c r="OZ3" s="24"/>
      <c r="PA3" s="24"/>
      <c r="PB3" s="24"/>
      <c r="PC3" s="24"/>
      <c r="PD3" s="24"/>
      <c r="PE3" s="24"/>
      <c r="PF3" s="24"/>
      <c r="PG3" s="24"/>
      <c r="PH3" s="24"/>
      <c r="PI3" s="24"/>
      <c r="PJ3" s="24"/>
      <c r="PK3" s="24"/>
      <c r="PL3" s="24"/>
      <c r="PM3" s="24"/>
      <c r="PN3" s="24"/>
      <c r="PO3" s="24"/>
      <c r="PP3" s="24"/>
      <c r="PQ3" s="24"/>
      <c r="PR3" s="24"/>
      <c r="PS3" s="24"/>
      <c r="PT3" s="24"/>
      <c r="PU3" s="24"/>
      <c r="PV3" s="24"/>
      <c r="PW3" s="24"/>
      <c r="PX3" s="24"/>
      <c r="PY3" s="24"/>
      <c r="PZ3" s="24"/>
      <c r="QA3" s="24"/>
      <c r="QB3" s="24"/>
      <c r="QC3" s="24"/>
      <c r="QD3" s="24"/>
      <c r="QE3" s="24"/>
      <c r="QF3" s="24"/>
      <c r="QG3" s="24"/>
      <c r="QH3" s="24"/>
      <c r="QI3" s="24"/>
      <c r="QJ3" s="24"/>
      <c r="QK3" s="24"/>
      <c r="QL3" s="24"/>
      <c r="QM3" s="24"/>
      <c r="QN3" s="24"/>
      <c r="QO3" s="24"/>
      <c r="QP3" s="24"/>
      <c r="QQ3" s="24"/>
      <c r="QR3" s="24"/>
      <c r="QS3" s="24"/>
      <c r="QT3" s="24"/>
      <c r="QU3" s="24"/>
      <c r="QV3" s="24"/>
      <c r="QW3" s="24"/>
      <c r="QX3" s="24"/>
      <c r="QY3" s="24"/>
      <c r="QZ3" s="24"/>
      <c r="RA3" s="24"/>
      <c r="RB3" s="24"/>
      <c r="RC3" s="24"/>
      <c r="RD3" s="24"/>
      <c r="RE3" s="24"/>
      <c r="RF3" s="24"/>
      <c r="RG3" s="24"/>
      <c r="RH3" s="24"/>
      <c r="RI3" s="24"/>
      <c r="RJ3" s="24"/>
      <c r="RK3" s="24"/>
      <c r="RL3" s="24"/>
      <c r="RM3" s="24"/>
      <c r="RN3" s="24"/>
      <c r="RO3" s="24"/>
      <c r="RP3" s="24"/>
      <c r="RQ3" s="24"/>
      <c r="RR3" s="24"/>
      <c r="RS3" s="24"/>
      <c r="RT3" s="24"/>
      <c r="RU3" s="24"/>
      <c r="RV3" s="24"/>
      <c r="RW3" s="24"/>
      <c r="RX3" s="24"/>
      <c r="RY3" s="24"/>
      <c r="RZ3" s="24"/>
      <c r="SA3" s="24"/>
      <c r="SB3" s="24"/>
      <c r="SC3" s="24"/>
      <c r="SD3" s="24"/>
      <c r="SE3" s="24"/>
      <c r="SF3" s="24"/>
      <c r="SG3" s="24"/>
      <c r="SH3" s="24"/>
      <c r="SI3" s="24"/>
      <c r="SJ3" s="24"/>
      <c r="SK3" s="24"/>
      <c r="SL3" s="24"/>
      <c r="SM3" s="24"/>
      <c r="SN3" s="24"/>
      <c r="SO3" s="24"/>
      <c r="SP3" s="24"/>
      <c r="SQ3" s="24"/>
      <c r="SR3" s="24"/>
      <c r="SS3" s="24"/>
      <c r="ST3" s="24"/>
      <c r="SU3" s="24"/>
      <c r="SV3" s="24"/>
      <c r="SW3" s="24"/>
      <c r="SX3" s="24"/>
      <c r="SY3" s="24"/>
      <c r="SZ3" s="24"/>
      <c r="TA3" s="24"/>
      <c r="TB3" s="24"/>
      <c r="TC3" s="24"/>
      <c r="TD3" s="24"/>
      <c r="TE3" s="24"/>
      <c r="TF3" s="24"/>
      <c r="TG3" s="24"/>
      <c r="TH3" s="24"/>
      <c r="TI3" s="24"/>
      <c r="TJ3" s="24"/>
      <c r="TK3" s="24"/>
      <c r="TL3" s="24"/>
      <c r="TM3" s="24"/>
      <c r="TN3" s="24"/>
      <c r="TO3" s="24"/>
      <c r="TP3" s="24"/>
      <c r="TQ3" s="24"/>
      <c r="TR3" s="24"/>
      <c r="TS3" s="24"/>
      <c r="TT3" s="24"/>
      <c r="TU3" s="24"/>
      <c r="TV3" s="24"/>
      <c r="TW3" s="24"/>
      <c r="TX3" s="24"/>
      <c r="TY3" s="24"/>
      <c r="TZ3" s="24"/>
      <c r="UA3" s="24"/>
      <c r="UB3" s="24"/>
      <c r="UC3" s="24"/>
      <c r="UD3" s="24"/>
      <c r="UE3" s="24"/>
      <c r="UF3" s="24"/>
      <c r="UG3" s="24"/>
      <c r="UH3" s="24"/>
      <c r="UI3" s="24"/>
      <c r="UJ3" s="24"/>
      <c r="UK3" s="24"/>
      <c r="UL3" s="24"/>
      <c r="UM3" s="24"/>
      <c r="UN3" s="24"/>
      <c r="UO3" s="24"/>
      <c r="UP3" s="24"/>
      <c r="UQ3" s="24"/>
      <c r="UR3" s="24"/>
      <c r="US3" s="24"/>
      <c r="UT3" s="24"/>
      <c r="UU3" s="24"/>
      <c r="UV3" s="24"/>
      <c r="UW3" s="24"/>
      <c r="UX3" s="24"/>
      <c r="UY3" s="24"/>
      <c r="UZ3" s="24"/>
      <c r="VA3" s="24"/>
      <c r="VB3" s="24"/>
      <c r="VC3" s="24"/>
      <c r="VD3" s="24"/>
      <c r="VE3" s="24"/>
      <c r="VF3" s="24"/>
      <c r="VG3" s="24"/>
      <c r="VH3" s="24"/>
      <c r="VI3" s="24"/>
      <c r="VJ3" s="24"/>
      <c r="VK3" s="24"/>
      <c r="VL3" s="24"/>
      <c r="VM3" s="24"/>
      <c r="VN3" s="24"/>
      <c r="VO3" s="24"/>
      <c r="VP3" s="24"/>
      <c r="VQ3" s="24"/>
      <c r="VR3" s="24"/>
      <c r="VS3" s="24"/>
      <c r="VT3" s="24"/>
      <c r="VU3" s="24"/>
      <c r="VV3" s="24"/>
      <c r="VW3" s="24"/>
      <c r="VX3" s="24"/>
      <c r="VY3" s="24"/>
      <c r="VZ3" s="24"/>
      <c r="WA3" s="24"/>
      <c r="WB3" s="24"/>
      <c r="WC3" s="24"/>
      <c r="WD3" s="24"/>
      <c r="WE3" s="24"/>
      <c r="WF3" s="24"/>
      <c r="WG3" s="24"/>
      <c r="WH3" s="24"/>
      <c r="WI3" s="24"/>
      <c r="WJ3" s="24"/>
      <c r="WK3" s="24"/>
      <c r="WL3" s="24"/>
      <c r="WM3" s="24"/>
      <c r="WN3" s="24"/>
      <c r="WO3" s="24"/>
      <c r="WP3" s="24"/>
      <c r="WQ3" s="24"/>
      <c r="WR3" s="24"/>
      <c r="WS3" s="24"/>
      <c r="WT3" s="24"/>
      <c r="WU3" s="24"/>
      <c r="WV3" s="24"/>
      <c r="WW3" s="24"/>
      <c r="WX3" s="24"/>
      <c r="WY3" s="24"/>
      <c r="WZ3" s="24"/>
      <c r="XA3" s="24"/>
      <c r="XB3" s="24"/>
      <c r="XC3" s="24"/>
      <c r="XD3" s="24"/>
      <c r="XE3" s="24"/>
      <c r="XF3" s="24"/>
      <c r="XG3" s="24"/>
      <c r="XH3" s="24"/>
      <c r="XI3" s="24"/>
      <c r="XJ3" s="24"/>
      <c r="XK3" s="24"/>
      <c r="XL3" s="24"/>
      <c r="XM3" s="24"/>
      <c r="XN3" s="24"/>
      <c r="XO3" s="24"/>
      <c r="XP3" s="24"/>
      <c r="XQ3" s="24"/>
      <c r="XR3" s="24"/>
      <c r="XS3" s="24"/>
      <c r="XT3" s="24"/>
      <c r="XU3" s="24"/>
      <c r="XV3" s="24"/>
      <c r="XW3" s="24"/>
      <c r="XX3" s="24"/>
      <c r="XY3" s="24"/>
      <c r="XZ3" s="24"/>
      <c r="YA3" s="24"/>
      <c r="YB3" s="24"/>
      <c r="YC3" s="24"/>
      <c r="YD3" s="24"/>
      <c r="YE3" s="24"/>
      <c r="YF3" s="24"/>
      <c r="YG3" s="24"/>
      <c r="YH3" s="24"/>
      <c r="YI3" s="24"/>
      <c r="YJ3" s="24"/>
      <c r="YK3" s="24"/>
      <c r="YL3" s="24"/>
      <c r="YM3" s="24"/>
      <c r="YN3" s="24"/>
      <c r="YO3" s="24"/>
      <c r="YP3" s="24"/>
      <c r="YQ3" s="24"/>
      <c r="YR3" s="24"/>
      <c r="YS3" s="24"/>
      <c r="YT3" s="24"/>
      <c r="YU3" s="24"/>
      <c r="YV3" s="24"/>
      <c r="YW3" s="24"/>
      <c r="YX3" s="24"/>
      <c r="YY3" s="24"/>
      <c r="YZ3" s="24"/>
      <c r="ZA3" s="24"/>
      <c r="ZB3" s="24"/>
      <c r="ZC3" s="24"/>
      <c r="ZD3" s="24"/>
      <c r="ZE3" s="24"/>
      <c r="ZF3" s="24"/>
      <c r="ZG3" s="24"/>
      <c r="ZH3" s="24"/>
      <c r="ZI3" s="24"/>
      <c r="ZJ3" s="24"/>
      <c r="ZK3" s="24"/>
      <c r="ZL3" s="24"/>
      <c r="ZM3" s="24"/>
      <c r="ZN3" s="24"/>
      <c r="ZO3" s="24"/>
      <c r="ZP3" s="24"/>
      <c r="ZQ3" s="24"/>
      <c r="ZR3" s="24"/>
      <c r="ZS3" s="24"/>
      <c r="ZT3" s="24"/>
      <c r="ZU3" s="24"/>
      <c r="ZV3" s="24"/>
      <c r="ZW3" s="24"/>
      <c r="ZX3" s="24"/>
      <c r="ZY3" s="24"/>
      <c r="ZZ3" s="24"/>
      <c r="AAA3" s="24"/>
      <c r="AAB3" s="24"/>
      <c r="AAC3" s="24"/>
      <c r="AAD3" s="24"/>
      <c r="AAE3" s="24"/>
      <c r="AAF3" s="24"/>
      <c r="AAG3" s="24"/>
      <c r="AAH3" s="24"/>
      <c r="AAI3" s="24"/>
      <c r="AAJ3" s="24"/>
      <c r="AAK3" s="24"/>
      <c r="AAL3" s="24"/>
      <c r="AAM3" s="24"/>
      <c r="AAN3" s="24"/>
      <c r="AAO3" s="24"/>
      <c r="AAP3" s="24"/>
      <c r="AAQ3" s="24"/>
      <c r="AAR3" s="24"/>
      <c r="AAS3" s="24"/>
      <c r="AAT3" s="24"/>
      <c r="AAU3" s="24"/>
      <c r="AAV3" s="24"/>
      <c r="AAW3" s="24"/>
      <c r="AAX3" s="24"/>
      <c r="AAY3" s="24"/>
      <c r="AAZ3" s="24"/>
      <c r="ABA3" s="24"/>
      <c r="ABB3" s="24"/>
      <c r="ABC3" s="24"/>
      <c r="ABD3" s="24"/>
      <c r="ABE3" s="24"/>
      <c r="ABF3" s="24"/>
      <c r="ABG3" s="24"/>
      <c r="ABH3" s="24"/>
      <c r="ABI3" s="24"/>
      <c r="ABJ3" s="24"/>
      <c r="ABK3" s="24"/>
      <c r="ABL3" s="24"/>
      <c r="ABM3" s="24"/>
      <c r="ABN3" s="24"/>
      <c r="ABO3" s="24"/>
      <c r="ABP3" s="24"/>
      <c r="ABQ3" s="24"/>
      <c r="ABR3" s="24"/>
      <c r="ABS3" s="24"/>
      <c r="ABT3" s="24"/>
      <c r="ABU3" s="24"/>
      <c r="ABV3" s="24"/>
      <c r="ABW3" s="24"/>
      <c r="ABX3" s="24"/>
      <c r="ABY3" s="24"/>
      <c r="ABZ3" s="24"/>
      <c r="ACA3" s="24"/>
      <c r="ACB3" s="24"/>
      <c r="ACC3" s="24"/>
      <c r="ACD3" s="24"/>
      <c r="ACE3" s="24"/>
      <c r="ACF3" s="24"/>
      <c r="ACG3" s="24"/>
      <c r="ACH3" s="24"/>
      <c r="ACI3" s="24"/>
      <c r="ACJ3" s="24"/>
      <c r="ACK3" s="24"/>
      <c r="ACL3" s="24"/>
      <c r="ACM3" s="24"/>
      <c r="ACN3" s="24"/>
      <c r="ACO3" s="24"/>
      <c r="ACP3" s="24"/>
      <c r="ACQ3" s="24"/>
      <c r="ACR3" s="24"/>
      <c r="ACS3" s="24"/>
      <c r="ACT3" s="24"/>
      <c r="ACU3" s="24"/>
      <c r="ACV3" s="24"/>
      <c r="ACW3" s="24"/>
      <c r="ACX3" s="24"/>
      <c r="ACY3" s="24"/>
      <c r="ACZ3" s="24"/>
      <c r="ADA3" s="24"/>
      <c r="ADB3" s="24"/>
      <c r="ADC3" s="24"/>
      <c r="ADD3" s="24"/>
      <c r="ADE3" s="24"/>
      <c r="ADF3" s="24"/>
      <c r="ADG3" s="24"/>
      <c r="ADH3" s="24"/>
      <c r="ADI3" s="24"/>
      <c r="ADJ3" s="24"/>
      <c r="ADK3" s="24"/>
      <c r="ADL3" s="24"/>
      <c r="ADM3" s="24"/>
      <c r="ADN3" s="24"/>
      <c r="ADO3" s="24"/>
      <c r="ADP3" s="24"/>
      <c r="ADQ3" s="24"/>
      <c r="ADR3" s="24"/>
      <c r="ADS3" s="24"/>
      <c r="ADT3" s="24"/>
      <c r="ADU3" s="24"/>
      <c r="ADV3" s="24"/>
      <c r="ADW3" s="24"/>
      <c r="ADX3" s="24"/>
      <c r="ADY3" s="24"/>
      <c r="ADZ3" s="24"/>
      <c r="AEA3" s="24"/>
      <c r="AEB3" s="24"/>
      <c r="AEC3" s="24"/>
      <c r="AED3" s="24"/>
      <c r="AEE3" s="24"/>
      <c r="AEF3" s="24"/>
      <c r="AEG3" s="24"/>
      <c r="AEH3" s="24"/>
      <c r="AEI3" s="24"/>
      <c r="AEJ3" s="24"/>
      <c r="AEK3" s="24"/>
      <c r="AEL3" s="24"/>
      <c r="AEM3" s="24"/>
      <c r="AEN3" s="24"/>
      <c r="AEO3" s="24"/>
      <c r="AEP3" s="24"/>
      <c r="AEQ3" s="24"/>
      <c r="AER3" s="24"/>
      <c r="AES3" s="24"/>
      <c r="AET3" s="24"/>
      <c r="AEU3" s="24"/>
      <c r="AEV3" s="24"/>
      <c r="AEW3" s="24"/>
      <c r="AEX3" s="24"/>
      <c r="AEY3" s="24"/>
      <c r="AEZ3" s="24"/>
      <c r="AFA3" s="24"/>
      <c r="AFB3" s="24"/>
      <c r="AFC3" s="24"/>
      <c r="AFD3" s="24"/>
      <c r="AFE3" s="24"/>
      <c r="AFF3" s="24"/>
      <c r="AFG3" s="24"/>
      <c r="AFH3" s="24"/>
      <c r="AFI3" s="24"/>
      <c r="AFJ3" s="24"/>
      <c r="AFK3" s="24"/>
      <c r="AFL3" s="24"/>
      <c r="AFM3" s="24"/>
      <c r="AFN3" s="24"/>
      <c r="AFO3" s="24"/>
      <c r="AFP3" s="24"/>
      <c r="AFQ3" s="24"/>
      <c r="AFR3" s="24"/>
      <c r="AFS3" s="24"/>
      <c r="AFT3" s="24"/>
      <c r="AFU3" s="24"/>
      <c r="AFV3" s="24"/>
      <c r="AFW3" s="24"/>
      <c r="AFX3" s="24"/>
      <c r="AFY3" s="24"/>
      <c r="AFZ3" s="24"/>
      <c r="AGA3" s="24"/>
      <c r="AGB3" s="24"/>
      <c r="AGC3" s="24"/>
      <c r="AGD3" s="24"/>
      <c r="AGE3" s="24"/>
      <c r="AGF3" s="24"/>
      <c r="AGG3" s="24"/>
      <c r="AGH3" s="24"/>
      <c r="AGI3" s="24"/>
      <c r="AGJ3" s="24"/>
      <c r="AGK3" s="24"/>
      <c r="AGL3" s="24"/>
      <c r="AGM3" s="24"/>
      <c r="AGN3" s="24"/>
      <c r="AGO3" s="24"/>
      <c r="AGP3" s="24"/>
      <c r="AGQ3" s="24"/>
      <c r="AGR3" s="24"/>
      <c r="AGS3" s="24"/>
      <c r="AGT3" s="24"/>
      <c r="AGU3" s="24"/>
      <c r="AGV3" s="24"/>
      <c r="AGW3" s="24"/>
      <c r="AGX3" s="24"/>
      <c r="AGY3" s="24"/>
      <c r="AGZ3" s="24"/>
      <c r="AHA3" s="24"/>
      <c r="AHB3" s="24"/>
      <c r="AHC3" s="24"/>
      <c r="AHD3" s="24"/>
      <c r="AHE3" s="24"/>
      <c r="AHF3" s="24"/>
      <c r="AHG3" s="24"/>
      <c r="AHH3" s="24"/>
      <c r="AHI3" s="24"/>
      <c r="AHJ3" s="24"/>
      <c r="AHK3" s="24"/>
      <c r="AHL3" s="24"/>
      <c r="AHM3" s="24"/>
      <c r="AHN3" s="24"/>
      <c r="AHO3" s="24"/>
      <c r="AHP3" s="24"/>
      <c r="AHQ3" s="24"/>
      <c r="AHR3" s="24"/>
      <c r="AHS3" s="24"/>
      <c r="AHT3" s="24"/>
      <c r="AHU3" s="24"/>
      <c r="AHV3" s="24"/>
      <c r="AHW3" s="24"/>
      <c r="AHX3" s="24"/>
      <c r="AHY3" s="24"/>
      <c r="AHZ3" s="24"/>
      <c r="AIA3" s="24"/>
      <c r="AIB3" s="24"/>
      <c r="AIC3" s="24"/>
      <c r="AID3" s="24"/>
      <c r="AIE3" s="24"/>
      <c r="AIF3" s="24"/>
      <c r="AIG3" s="24"/>
      <c r="AIH3" s="24"/>
      <c r="AII3" s="24"/>
      <c r="AIJ3" s="24"/>
      <c r="AIK3" s="24"/>
      <c r="AIL3" s="24"/>
      <c r="AIM3" s="24"/>
      <c r="AIN3" s="24"/>
      <c r="AIO3" s="24"/>
      <c r="AIP3" s="24"/>
      <c r="AIQ3" s="24"/>
      <c r="AIR3" s="24"/>
      <c r="AIS3" s="24"/>
      <c r="AIT3" s="24"/>
      <c r="AIU3" s="24"/>
      <c r="AIV3" s="24"/>
      <c r="AIW3" s="24"/>
      <c r="AIX3" s="24"/>
      <c r="AIY3" s="24"/>
      <c r="AIZ3" s="24"/>
      <c r="AJA3" s="24"/>
      <c r="AJB3" s="24"/>
      <c r="AJC3" s="24"/>
      <c r="AJD3" s="24"/>
      <c r="AJE3" s="24"/>
      <c r="AJF3" s="24"/>
      <c r="AJG3" s="24"/>
      <c r="AJH3" s="24"/>
      <c r="AJI3" s="24"/>
      <c r="AJJ3" s="24"/>
      <c r="AJK3" s="24"/>
      <c r="AJL3" s="24"/>
      <c r="AJM3" s="24"/>
      <c r="AJN3" s="24"/>
      <c r="AJO3" s="24"/>
      <c r="AJP3" s="24"/>
      <c r="AJQ3" s="24"/>
      <c r="AJR3" s="24"/>
      <c r="AJS3" s="24"/>
      <c r="AJT3" s="24"/>
      <c r="AJU3" s="24"/>
      <c r="AJV3" s="24"/>
      <c r="AJW3" s="24"/>
      <c r="AJX3" s="24"/>
      <c r="AJY3" s="24"/>
      <c r="AJZ3" s="24"/>
      <c r="AKA3" s="24"/>
      <c r="AKB3" s="24"/>
      <c r="AKC3" s="24"/>
      <c r="AKD3" s="24"/>
      <c r="AKE3" s="24"/>
      <c r="AKF3" s="24"/>
      <c r="AKG3" s="24"/>
      <c r="AKH3" s="24"/>
      <c r="AKI3" s="24"/>
      <c r="AKJ3" s="24"/>
      <c r="AKK3" s="24"/>
      <c r="AKL3" s="24"/>
      <c r="AKM3" s="24"/>
      <c r="AKN3" s="24"/>
      <c r="AKO3" s="24"/>
      <c r="AKP3" s="24"/>
      <c r="AKQ3" s="24"/>
      <c r="AKR3" s="24"/>
      <c r="AKS3" s="24"/>
      <c r="AKT3" s="24"/>
      <c r="AKU3" s="24"/>
      <c r="AKV3" s="24"/>
      <c r="AKW3" s="24"/>
      <c r="AKX3" s="24"/>
      <c r="AKY3" s="24"/>
      <c r="AKZ3" s="24"/>
      <c r="ALA3" s="24"/>
      <c r="ALB3" s="24"/>
      <c r="ALC3" s="24"/>
      <c r="ALD3" s="24"/>
      <c r="ALE3" s="24"/>
      <c r="ALF3" s="24"/>
      <c r="ALG3" s="24"/>
      <c r="ALH3" s="24"/>
      <c r="ALI3" s="24"/>
      <c r="ALJ3" s="24"/>
      <c r="ALK3" s="24"/>
      <c r="ALL3" s="24"/>
      <c r="ALM3" s="24"/>
      <c r="ALN3" s="24"/>
      <c r="ALO3" s="24"/>
      <c r="ALP3" s="24"/>
      <c r="ALQ3" s="24"/>
      <c r="ALR3" s="24"/>
      <c r="ALS3" s="24"/>
      <c r="ALT3" s="24"/>
      <c r="ALU3" s="24"/>
      <c r="ALV3" s="24"/>
      <c r="ALW3" s="24"/>
      <c r="ALX3" s="24"/>
      <c r="ALY3" s="24"/>
      <c r="ALZ3" s="24"/>
      <c r="AMA3" s="24"/>
      <c r="AMB3" s="24"/>
      <c r="AMC3" s="24"/>
      <c r="AMD3" s="24"/>
      <c r="AME3" s="24"/>
      <c r="AMF3" s="24"/>
      <c r="AMG3" s="24"/>
      <c r="AMH3" s="24"/>
      <c r="AMI3" s="24"/>
      <c r="AMJ3" s="24"/>
      <c r="AMK3" s="24"/>
      <c r="AML3" s="24"/>
      <c r="AMM3" s="24"/>
      <c r="AMN3" s="24"/>
      <c r="AMO3" s="24"/>
      <c r="AMP3" s="24"/>
      <c r="AMQ3" s="24"/>
      <c r="AMR3" s="24"/>
      <c r="AMS3" s="24"/>
      <c r="AMT3" s="24"/>
      <c r="AMU3" s="24"/>
      <c r="AMV3" s="24"/>
      <c r="AMW3" s="24"/>
      <c r="AMX3" s="24"/>
      <c r="AMY3" s="24"/>
      <c r="AMZ3" s="24"/>
      <c r="ANA3" s="24"/>
      <c r="ANB3" s="24"/>
      <c r="ANC3" s="24"/>
      <c r="AND3" s="24"/>
      <c r="ANE3" s="24"/>
      <c r="ANF3" s="24"/>
      <c r="ANG3" s="24"/>
      <c r="ANH3" s="24"/>
      <c r="ANI3" s="24"/>
      <c r="ANJ3" s="24"/>
      <c r="ANK3" s="24"/>
      <c r="ANL3" s="24"/>
      <c r="ANM3" s="24"/>
      <c r="ANN3" s="24"/>
      <c r="ANO3" s="24"/>
      <c r="ANP3" s="24"/>
      <c r="ANQ3" s="24"/>
      <c r="ANR3" s="24"/>
      <c r="ANS3" s="24"/>
      <c r="ANT3" s="24"/>
      <c r="ANU3" s="24"/>
      <c r="ANV3" s="24"/>
      <c r="ANW3" s="24"/>
      <c r="ANX3" s="24"/>
      <c r="ANY3" s="24"/>
      <c r="ANZ3" s="24"/>
      <c r="AOA3" s="24"/>
      <c r="AOB3" s="24"/>
      <c r="AOC3" s="24"/>
      <c r="AOD3" s="24"/>
      <c r="AOE3" s="24"/>
      <c r="AOF3" s="24"/>
      <c r="AOG3" s="24"/>
      <c r="AOH3" s="24"/>
      <c r="AOI3" s="24"/>
      <c r="AOJ3" s="24"/>
      <c r="AOK3" s="24"/>
      <c r="AOL3" s="24"/>
      <c r="AOM3" s="24"/>
      <c r="AON3" s="24"/>
      <c r="AOO3" s="24"/>
      <c r="AOP3" s="24"/>
      <c r="AOQ3" s="24"/>
      <c r="AOR3" s="24"/>
      <c r="AOS3" s="24"/>
      <c r="AOT3" s="24"/>
      <c r="AOU3" s="24"/>
      <c r="AOV3" s="24"/>
      <c r="AOW3" s="24"/>
      <c r="AOX3" s="24"/>
      <c r="AOY3" s="24"/>
      <c r="AOZ3" s="24"/>
      <c r="APA3" s="24"/>
      <c r="APB3" s="24"/>
      <c r="APC3" s="24"/>
      <c r="APD3" s="24"/>
      <c r="APE3" s="24"/>
      <c r="APF3" s="24"/>
      <c r="APG3" s="24"/>
      <c r="APH3" s="24"/>
      <c r="API3" s="24"/>
      <c r="APJ3" s="24"/>
      <c r="APK3" s="24"/>
      <c r="APL3" s="24"/>
      <c r="APM3" s="24"/>
      <c r="APN3" s="24"/>
      <c r="APO3" s="24"/>
      <c r="APP3" s="24"/>
      <c r="APQ3" s="24"/>
      <c r="APR3" s="24"/>
      <c r="APS3" s="24"/>
      <c r="APT3" s="24"/>
      <c r="APU3" s="24"/>
      <c r="APV3" s="24"/>
      <c r="APW3" s="24"/>
      <c r="APX3" s="24"/>
      <c r="APY3" s="24"/>
      <c r="APZ3" s="24"/>
      <c r="AQA3" s="24"/>
      <c r="AQB3" s="24"/>
      <c r="AQC3" s="24"/>
      <c r="AQD3" s="24"/>
      <c r="AQE3" s="24"/>
      <c r="AQF3" s="24"/>
      <c r="AQG3" s="24"/>
      <c r="AQH3" s="24"/>
      <c r="AQI3" s="24"/>
      <c r="AQJ3" s="24"/>
      <c r="AQK3" s="24"/>
      <c r="AQL3" s="24"/>
      <c r="AQM3" s="24"/>
      <c r="AQN3" s="24"/>
      <c r="AQO3" s="24"/>
      <c r="AQP3" s="24"/>
      <c r="AQQ3" s="24"/>
      <c r="AQR3" s="24"/>
      <c r="AQS3" s="24"/>
      <c r="AQT3" s="24"/>
      <c r="AQU3" s="24"/>
      <c r="AQV3" s="24"/>
      <c r="AQW3" s="24"/>
      <c r="AQX3" s="24"/>
      <c r="AQY3" s="24"/>
      <c r="AQZ3" s="24"/>
      <c r="ARA3" s="24"/>
      <c r="ARB3" s="24"/>
      <c r="ARC3" s="24"/>
      <c r="ARD3" s="24"/>
      <c r="ARE3" s="24"/>
      <c r="ARF3" s="24"/>
      <c r="ARG3" s="24"/>
      <c r="ARH3" s="24"/>
      <c r="ARI3" s="24"/>
      <c r="ARJ3" s="24"/>
      <c r="ARK3" s="24"/>
      <c r="ARL3" s="24"/>
      <c r="ARM3" s="24"/>
      <c r="ARN3" s="24"/>
      <c r="ARO3" s="24"/>
      <c r="ARP3" s="24"/>
      <c r="ARQ3" s="24"/>
      <c r="ARR3" s="24"/>
      <c r="ARS3" s="24"/>
      <c r="ART3" s="24"/>
      <c r="ARU3" s="24"/>
      <c r="ARV3" s="24"/>
      <c r="ARW3" s="24"/>
      <c r="ARX3" s="24"/>
      <c r="ARY3" s="24"/>
      <c r="ARZ3" s="24"/>
      <c r="ASA3" s="24"/>
      <c r="ASB3" s="24"/>
      <c r="ASC3" s="24"/>
      <c r="ASD3" s="24"/>
      <c r="ASE3" s="24"/>
      <c r="ASF3" s="24"/>
      <c r="ASG3" s="24"/>
      <c r="ASH3" s="24"/>
      <c r="ASI3" s="24"/>
      <c r="ASJ3" s="24"/>
      <c r="ASK3" s="24"/>
      <c r="ASL3" s="24"/>
      <c r="ASM3" s="24"/>
      <c r="ASN3" s="24"/>
      <c r="ASO3" s="24"/>
      <c r="ASP3" s="24"/>
      <c r="ASQ3" s="24"/>
      <c r="ASR3" s="24"/>
      <c r="ASS3" s="24"/>
      <c r="AST3" s="24"/>
      <c r="ASU3" s="24"/>
      <c r="ASV3" s="24"/>
      <c r="ASW3" s="24"/>
      <c r="ASX3" s="24"/>
      <c r="ASY3" s="24"/>
      <c r="ASZ3" s="24"/>
      <c r="ATA3" s="24"/>
      <c r="ATB3" s="24"/>
      <c r="ATC3" s="24"/>
      <c r="ATD3" s="24"/>
      <c r="ATE3" s="24"/>
      <c r="ATF3" s="24"/>
      <c r="ATG3" s="24"/>
      <c r="ATH3" s="24"/>
      <c r="ATI3" s="24"/>
      <c r="ATJ3" s="24"/>
      <c r="ATK3" s="24"/>
      <c r="ATL3" s="24"/>
      <c r="ATM3" s="24"/>
      <c r="ATN3" s="24"/>
      <c r="ATO3" s="24"/>
      <c r="ATP3" s="24"/>
      <c r="ATQ3" s="24"/>
      <c r="ATR3" s="24"/>
      <c r="ATS3" s="24"/>
      <c r="ATT3" s="24"/>
      <c r="ATU3" s="24"/>
      <c r="ATV3" s="24"/>
      <c r="ATW3" s="24"/>
      <c r="ATX3" s="24"/>
      <c r="ATY3" s="24"/>
      <c r="ATZ3" s="24"/>
      <c r="AUA3" s="24"/>
      <c r="AUB3" s="24"/>
      <c r="AUC3" s="24"/>
      <c r="AUD3" s="24"/>
      <c r="AUE3" s="24"/>
      <c r="AUF3" s="24"/>
      <c r="AUG3" s="24"/>
      <c r="AUH3" s="24"/>
      <c r="AUI3" s="24"/>
      <c r="AUJ3" s="24"/>
      <c r="AUK3" s="24"/>
      <c r="AUL3" s="24"/>
      <c r="AUM3" s="24"/>
      <c r="AUN3" s="24"/>
      <c r="AUO3" s="24"/>
      <c r="AUP3" s="24"/>
      <c r="AUQ3" s="24"/>
      <c r="AUR3" s="24"/>
      <c r="AUS3" s="24"/>
      <c r="AUT3" s="24"/>
      <c r="AUU3" s="24"/>
      <c r="AUV3" s="24"/>
      <c r="AUW3" s="24"/>
      <c r="AUX3" s="24"/>
      <c r="AUY3" s="24"/>
      <c r="AUZ3" s="24"/>
      <c r="AVA3" s="24"/>
      <c r="AVB3" s="24"/>
      <c r="AVC3" s="24"/>
      <c r="AVD3" s="24"/>
      <c r="AVE3" s="24"/>
      <c r="AVF3" s="24"/>
      <c r="AVG3" s="24"/>
      <c r="AVH3" s="24"/>
      <c r="AVI3" s="24"/>
      <c r="AVJ3" s="24"/>
      <c r="AVK3" s="24"/>
      <c r="AVL3" s="24"/>
      <c r="AVM3" s="24"/>
      <c r="AVN3" s="24"/>
      <c r="AVO3" s="24"/>
      <c r="AVP3" s="24"/>
      <c r="AVQ3" s="24"/>
      <c r="AVR3" s="24"/>
      <c r="AVS3" s="24"/>
      <c r="AVT3" s="24"/>
      <c r="AVU3" s="24"/>
      <c r="AVV3" s="24"/>
      <c r="AVW3" s="24"/>
      <c r="AVX3" s="24"/>
      <c r="AVY3" s="24"/>
      <c r="AVZ3" s="24"/>
      <c r="AWA3" s="24"/>
      <c r="AWB3" s="24"/>
      <c r="AWC3" s="24"/>
      <c r="AWD3" s="24"/>
      <c r="AWE3" s="24"/>
      <c r="AWF3" s="24"/>
      <c r="AWG3" s="24"/>
      <c r="AWH3" s="24"/>
      <c r="AWI3" s="24"/>
      <c r="AWJ3" s="24"/>
      <c r="AWK3" s="24"/>
      <c r="AWL3" s="24"/>
      <c r="AWM3" s="24"/>
      <c r="AWN3" s="24"/>
      <c r="AWO3" s="24"/>
      <c r="AWP3" s="24"/>
      <c r="AWQ3" s="24"/>
      <c r="AWR3" s="24"/>
      <c r="AWS3" s="24"/>
      <c r="AWT3" s="24"/>
      <c r="AWU3" s="24"/>
      <c r="AWV3" s="24"/>
      <c r="AWW3" s="24"/>
      <c r="AWX3" s="24"/>
      <c r="AWY3" s="24"/>
      <c r="AWZ3" s="24"/>
      <c r="AXA3" s="24"/>
      <c r="AXB3" s="24"/>
      <c r="AXC3" s="24"/>
      <c r="AXD3" s="24"/>
      <c r="AXE3" s="24"/>
      <c r="AXF3" s="24"/>
      <c r="AXG3" s="24"/>
      <c r="AXH3" s="24"/>
      <c r="AXI3" s="24"/>
      <c r="AXJ3" s="24"/>
      <c r="AXK3" s="24"/>
      <c r="AXL3" s="24"/>
      <c r="AXM3" s="24"/>
      <c r="AXN3" s="24"/>
      <c r="AXO3" s="24"/>
      <c r="AXP3" s="24"/>
      <c r="AXQ3" s="24"/>
      <c r="AXR3" s="24"/>
      <c r="AXS3" s="24"/>
      <c r="AXT3" s="24"/>
      <c r="AXU3" s="24"/>
      <c r="AXV3" s="24"/>
      <c r="AXW3" s="24"/>
      <c r="AXX3" s="24"/>
      <c r="AXY3" s="24"/>
      <c r="AXZ3" s="24"/>
      <c r="AYA3" s="24"/>
      <c r="AYB3" s="24"/>
      <c r="AYC3" s="24"/>
      <c r="AYD3" s="24"/>
      <c r="AYE3" s="24"/>
      <c r="AYF3" s="24"/>
      <c r="AYG3" s="24"/>
      <c r="AYH3" s="24"/>
      <c r="AYI3" s="24"/>
      <c r="AYJ3" s="24"/>
      <c r="AYK3" s="24"/>
      <c r="AYL3" s="24"/>
      <c r="AYM3" s="24"/>
      <c r="AYN3" s="24"/>
      <c r="AYO3" s="24"/>
      <c r="AYP3" s="24"/>
      <c r="AYQ3" s="24"/>
      <c r="AYR3" s="24"/>
      <c r="AYS3" s="24"/>
      <c r="AYT3" s="24"/>
      <c r="AYU3" s="24"/>
      <c r="AYV3" s="24"/>
      <c r="AYW3" s="24"/>
      <c r="AYX3" s="24"/>
      <c r="AYY3" s="24"/>
      <c r="AYZ3" s="24"/>
      <c r="AZA3" s="24"/>
      <c r="AZB3" s="24"/>
      <c r="AZC3" s="24"/>
      <c r="AZD3" s="24"/>
      <c r="AZE3" s="24"/>
      <c r="AZF3" s="24"/>
      <c r="AZG3" s="24"/>
      <c r="AZH3" s="24"/>
      <c r="AZI3" s="24"/>
      <c r="AZJ3" s="24"/>
      <c r="AZK3" s="24"/>
      <c r="AZL3" s="24"/>
      <c r="AZM3" s="24"/>
      <c r="AZN3" s="24"/>
      <c r="AZO3" s="24"/>
      <c r="AZP3" s="24"/>
      <c r="AZQ3" s="24"/>
      <c r="AZR3" s="24"/>
      <c r="AZS3" s="24"/>
      <c r="AZT3" s="24"/>
      <c r="AZU3" s="24"/>
      <c r="AZV3" s="24"/>
      <c r="AZW3" s="24"/>
      <c r="AZX3" s="24"/>
      <c r="AZY3" s="24"/>
      <c r="AZZ3" s="24"/>
      <c r="BAA3" s="24"/>
      <c r="BAB3" s="24"/>
      <c r="BAC3" s="24"/>
      <c r="BAD3" s="24"/>
      <c r="BAE3" s="24"/>
      <c r="BAF3" s="24"/>
      <c r="BAG3" s="24"/>
      <c r="BAH3" s="24"/>
      <c r="BAI3" s="24"/>
      <c r="BAJ3" s="24"/>
      <c r="BAK3" s="24"/>
      <c r="BAL3" s="24"/>
      <c r="BAM3" s="24"/>
      <c r="BAN3" s="24"/>
      <c r="BAO3" s="24"/>
      <c r="BAP3" s="24"/>
      <c r="BAQ3" s="24"/>
      <c r="BAR3" s="24"/>
      <c r="BAS3" s="24"/>
      <c r="BAT3" s="24"/>
      <c r="BAU3" s="24"/>
      <c r="BAV3" s="24"/>
      <c r="BAW3" s="24"/>
      <c r="BAX3" s="24"/>
      <c r="BAY3" s="24"/>
      <c r="BAZ3" s="24"/>
      <c r="BBA3" s="24"/>
      <c r="BBB3" s="24"/>
      <c r="BBC3" s="24"/>
      <c r="BBD3" s="24"/>
      <c r="BBE3" s="24"/>
      <c r="BBF3" s="24"/>
      <c r="BBG3" s="24"/>
      <c r="BBH3" s="24"/>
      <c r="BBI3" s="24"/>
      <c r="BBJ3" s="24"/>
      <c r="BBK3" s="24"/>
      <c r="BBL3" s="24"/>
      <c r="BBM3" s="24"/>
      <c r="BBN3" s="24"/>
      <c r="BBO3" s="24"/>
      <c r="BBP3" s="24"/>
      <c r="BBQ3" s="24"/>
      <c r="BBR3" s="24"/>
    </row>
    <row r="4" spans="1:1422" s="40" customFormat="1" ht="17.399999999999999" customHeight="1" x14ac:dyDescent="0.3">
      <c r="A4" s="56"/>
      <c r="C4" s="41"/>
      <c r="D4" s="24"/>
      <c r="E4" s="24"/>
      <c r="F4" s="24"/>
      <c r="G4" s="24"/>
      <c r="H4" s="24"/>
      <c r="J4" s="24"/>
      <c r="K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4"/>
      <c r="CU4" s="24"/>
      <c r="CV4" s="24"/>
      <c r="CW4" s="24"/>
      <c r="CX4" s="24"/>
      <c r="CY4" s="24"/>
      <c r="CZ4" s="24"/>
      <c r="DA4" s="24"/>
      <c r="DB4" s="24"/>
      <c r="DC4" s="24"/>
      <c r="DD4" s="24"/>
      <c r="DE4" s="24"/>
      <c r="DF4" s="24"/>
      <c r="DG4" s="24"/>
      <c r="DH4" s="24"/>
      <c r="DI4" s="24"/>
      <c r="DJ4" s="24"/>
      <c r="DK4" s="24"/>
      <c r="DL4" s="24"/>
      <c r="DM4" s="24"/>
      <c r="DN4" s="24"/>
      <c r="DO4" s="24"/>
      <c r="DP4" s="24"/>
      <c r="DQ4" s="24"/>
      <c r="DR4" s="24"/>
      <c r="DS4" s="24"/>
      <c r="DT4" s="24"/>
      <c r="DU4" s="24"/>
      <c r="DV4" s="24"/>
      <c r="DW4" s="24"/>
      <c r="DX4" s="24"/>
      <c r="DY4" s="24"/>
      <c r="DZ4" s="24"/>
      <c r="EA4" s="24"/>
      <c r="EB4" s="24"/>
      <c r="EC4" s="24"/>
      <c r="ED4" s="24"/>
      <c r="EE4" s="24"/>
      <c r="EF4" s="24"/>
      <c r="EG4" s="24"/>
      <c r="EH4" s="24"/>
      <c r="EI4" s="24"/>
      <c r="EJ4" s="24"/>
      <c r="EK4" s="24"/>
      <c r="EL4" s="24"/>
      <c r="EM4" s="24"/>
      <c r="EN4" s="24"/>
      <c r="EO4" s="24"/>
      <c r="EP4" s="24"/>
      <c r="EQ4" s="24"/>
      <c r="ER4" s="24"/>
      <c r="ES4" s="24"/>
      <c r="ET4" s="24"/>
      <c r="EU4" s="24"/>
      <c r="EV4" s="24"/>
      <c r="EW4" s="24"/>
      <c r="EX4" s="24"/>
      <c r="EY4" s="24"/>
      <c r="EZ4" s="24"/>
      <c r="FA4" s="24"/>
      <c r="FB4" s="24"/>
      <c r="FC4" s="24"/>
      <c r="FD4" s="24"/>
      <c r="FE4" s="24"/>
      <c r="FF4" s="24"/>
      <c r="FG4" s="24"/>
      <c r="FH4" s="24"/>
      <c r="FI4" s="24"/>
      <c r="FJ4" s="24"/>
      <c r="FK4" s="24"/>
      <c r="FL4" s="24"/>
      <c r="FM4" s="24"/>
      <c r="FN4" s="24"/>
      <c r="FO4" s="24"/>
      <c r="FP4" s="24"/>
      <c r="FQ4" s="24"/>
      <c r="FR4" s="24"/>
      <c r="FS4" s="24"/>
      <c r="FT4" s="24"/>
      <c r="FU4" s="24"/>
      <c r="FV4" s="24"/>
      <c r="FW4" s="24"/>
      <c r="FX4" s="24"/>
      <c r="FY4" s="24"/>
      <c r="FZ4" s="24"/>
      <c r="GA4" s="24"/>
      <c r="GB4" s="24"/>
      <c r="GC4" s="24"/>
      <c r="GD4" s="24"/>
      <c r="GE4" s="24"/>
      <c r="GF4" s="24"/>
      <c r="GG4" s="24"/>
      <c r="GH4" s="24"/>
      <c r="GI4" s="24"/>
      <c r="GJ4" s="24"/>
      <c r="GK4" s="24"/>
      <c r="GL4" s="24"/>
      <c r="GM4" s="24"/>
      <c r="GN4" s="24"/>
      <c r="GO4" s="24"/>
      <c r="GP4" s="24"/>
      <c r="GQ4" s="24"/>
      <c r="GR4" s="24"/>
      <c r="GS4" s="24"/>
      <c r="GT4" s="24"/>
      <c r="GU4" s="24"/>
      <c r="GV4" s="24"/>
      <c r="GW4" s="24"/>
      <c r="GX4" s="24"/>
      <c r="GY4" s="24"/>
      <c r="GZ4" s="24"/>
      <c r="HA4" s="24"/>
      <c r="HB4" s="24"/>
      <c r="HC4" s="24"/>
      <c r="HD4" s="24"/>
      <c r="HE4" s="24"/>
      <c r="HF4" s="24"/>
      <c r="HG4" s="24"/>
      <c r="HH4" s="24"/>
      <c r="HI4" s="24"/>
      <c r="HJ4" s="24"/>
      <c r="HK4" s="24"/>
      <c r="HL4" s="24"/>
      <c r="HM4" s="24"/>
      <c r="HN4" s="24"/>
      <c r="HO4" s="24"/>
      <c r="HP4" s="24"/>
      <c r="HQ4" s="24"/>
      <c r="HR4" s="24"/>
      <c r="HS4" s="24"/>
      <c r="HT4" s="24"/>
      <c r="HU4" s="24"/>
      <c r="HV4" s="24"/>
      <c r="HW4" s="24"/>
      <c r="HX4" s="24"/>
      <c r="HY4" s="24"/>
      <c r="HZ4" s="24"/>
      <c r="IA4" s="24"/>
      <c r="IB4" s="24"/>
      <c r="IC4" s="24"/>
      <c r="ID4" s="24"/>
      <c r="IE4" s="24"/>
      <c r="IF4" s="24"/>
      <c r="IG4" s="24"/>
      <c r="IH4" s="24"/>
      <c r="II4" s="24"/>
      <c r="IJ4" s="24"/>
      <c r="IK4" s="24"/>
      <c r="IL4" s="24"/>
      <c r="IM4" s="24"/>
      <c r="IN4" s="24"/>
      <c r="IO4" s="24"/>
      <c r="IP4" s="24"/>
      <c r="IQ4" s="24"/>
      <c r="IR4" s="24"/>
      <c r="IS4" s="24"/>
      <c r="IT4" s="24"/>
      <c r="IU4" s="24"/>
      <c r="IV4" s="24"/>
      <c r="IW4" s="24"/>
      <c r="IX4" s="24"/>
      <c r="IY4" s="24"/>
      <c r="IZ4" s="24"/>
      <c r="JA4" s="24"/>
      <c r="JB4" s="24"/>
      <c r="JC4" s="24"/>
      <c r="JD4" s="24"/>
      <c r="JE4" s="24"/>
      <c r="JF4" s="24"/>
      <c r="JG4" s="24"/>
      <c r="JH4" s="24"/>
      <c r="JI4" s="24"/>
      <c r="JJ4" s="24"/>
      <c r="JK4" s="24"/>
      <c r="JL4" s="24"/>
      <c r="JM4" s="24"/>
      <c r="JN4" s="24"/>
      <c r="JO4" s="24"/>
      <c r="JP4" s="24"/>
      <c r="JQ4" s="24"/>
      <c r="JR4" s="24"/>
      <c r="JS4" s="24"/>
      <c r="JT4" s="24"/>
      <c r="JU4" s="24"/>
      <c r="JV4" s="24"/>
      <c r="JW4" s="24"/>
      <c r="JX4" s="24"/>
      <c r="JY4" s="24"/>
      <c r="JZ4" s="24"/>
      <c r="KA4" s="24"/>
      <c r="KB4" s="24"/>
      <c r="KC4" s="24"/>
      <c r="KD4" s="24"/>
      <c r="KE4" s="24"/>
      <c r="KF4" s="24"/>
      <c r="KG4" s="24"/>
      <c r="KH4" s="24"/>
      <c r="KI4" s="24"/>
      <c r="KJ4" s="24"/>
      <c r="KK4" s="24"/>
      <c r="KL4" s="24"/>
      <c r="KM4" s="24"/>
      <c r="KN4" s="24"/>
      <c r="KO4" s="24"/>
      <c r="KP4" s="24"/>
      <c r="KQ4" s="24"/>
      <c r="KR4" s="24"/>
      <c r="KS4" s="24"/>
      <c r="KT4" s="24"/>
      <c r="KU4" s="24"/>
      <c r="KV4" s="24"/>
      <c r="KW4" s="24"/>
      <c r="KX4" s="24"/>
      <c r="KY4" s="24"/>
      <c r="KZ4" s="24"/>
      <c r="LA4" s="24"/>
      <c r="LB4" s="24"/>
      <c r="LC4" s="24"/>
      <c r="LD4" s="24"/>
      <c r="LE4" s="24"/>
      <c r="LF4" s="24"/>
      <c r="LG4" s="24"/>
      <c r="LH4" s="24"/>
      <c r="LI4" s="24"/>
      <c r="LJ4" s="24"/>
      <c r="LK4" s="24"/>
      <c r="LL4" s="24"/>
      <c r="LM4" s="24"/>
      <c r="LN4" s="24"/>
      <c r="LO4" s="24"/>
      <c r="LP4" s="24"/>
      <c r="LQ4" s="24"/>
      <c r="LR4" s="24"/>
      <c r="LS4" s="24"/>
      <c r="LT4" s="24"/>
      <c r="LU4" s="24"/>
      <c r="LV4" s="24"/>
      <c r="LW4" s="24"/>
      <c r="LX4" s="24"/>
      <c r="LY4" s="24"/>
      <c r="LZ4" s="24"/>
      <c r="MA4" s="24"/>
      <c r="MB4" s="24"/>
      <c r="MC4" s="24"/>
      <c r="MD4" s="24"/>
      <c r="ME4" s="24"/>
      <c r="MF4" s="24"/>
      <c r="MG4" s="24"/>
      <c r="MH4" s="24"/>
      <c r="MI4" s="24"/>
      <c r="MJ4" s="24"/>
      <c r="MK4" s="24"/>
      <c r="ML4" s="24"/>
      <c r="MM4" s="24"/>
      <c r="MN4" s="24"/>
      <c r="MO4" s="24"/>
      <c r="MP4" s="24"/>
      <c r="MQ4" s="24"/>
      <c r="MR4" s="24"/>
      <c r="MS4" s="24"/>
      <c r="MT4" s="24"/>
      <c r="MU4" s="24"/>
      <c r="MV4" s="24"/>
      <c r="MW4" s="24"/>
      <c r="MX4" s="24"/>
      <c r="MY4" s="24"/>
      <c r="MZ4" s="24"/>
      <c r="NA4" s="24"/>
      <c r="NB4" s="24"/>
      <c r="NC4" s="24"/>
      <c r="ND4" s="24"/>
      <c r="NE4" s="24"/>
      <c r="NF4" s="24"/>
      <c r="NG4" s="24"/>
      <c r="NH4" s="24"/>
      <c r="NI4" s="24"/>
      <c r="NJ4" s="24"/>
      <c r="NK4" s="24"/>
      <c r="NL4" s="24"/>
      <c r="NM4" s="24"/>
      <c r="NN4" s="24"/>
      <c r="NO4" s="24"/>
      <c r="NP4" s="24"/>
      <c r="NQ4" s="24"/>
      <c r="NR4" s="24"/>
      <c r="NS4" s="24"/>
      <c r="NT4" s="24"/>
      <c r="NU4" s="24"/>
      <c r="NV4" s="24"/>
      <c r="NW4" s="24"/>
      <c r="NX4" s="24"/>
      <c r="NY4" s="24"/>
      <c r="NZ4" s="24"/>
      <c r="OA4" s="24"/>
      <c r="OB4" s="24"/>
      <c r="OC4" s="24"/>
      <c r="OD4" s="24"/>
      <c r="OE4" s="24"/>
      <c r="OF4" s="24"/>
      <c r="OG4" s="24"/>
      <c r="OH4" s="24"/>
      <c r="OI4" s="24"/>
      <c r="OJ4" s="24"/>
      <c r="OK4" s="24"/>
      <c r="OL4" s="24"/>
      <c r="OM4" s="24"/>
      <c r="ON4" s="24"/>
      <c r="OO4" s="24"/>
      <c r="OP4" s="24"/>
      <c r="OQ4" s="24"/>
      <c r="OR4" s="24"/>
      <c r="OS4" s="24"/>
      <c r="OT4" s="24"/>
      <c r="OU4" s="24"/>
      <c r="OV4" s="24"/>
      <c r="OW4" s="24"/>
      <c r="OX4" s="24"/>
      <c r="OY4" s="24"/>
      <c r="OZ4" s="24"/>
      <c r="PA4" s="24"/>
      <c r="PB4" s="24"/>
      <c r="PC4" s="24"/>
      <c r="PD4" s="24"/>
      <c r="PE4" s="24"/>
      <c r="PF4" s="24"/>
      <c r="PG4" s="24"/>
      <c r="PH4" s="24"/>
      <c r="PI4" s="24"/>
      <c r="PJ4" s="24"/>
      <c r="PK4" s="24"/>
      <c r="PL4" s="24"/>
      <c r="PM4" s="24"/>
      <c r="PN4" s="24"/>
      <c r="PO4" s="24"/>
      <c r="PP4" s="24"/>
      <c r="PQ4" s="24"/>
      <c r="PR4" s="24"/>
      <c r="PS4" s="24"/>
      <c r="PT4" s="24"/>
      <c r="PU4" s="24"/>
      <c r="PV4" s="24"/>
      <c r="PW4" s="24"/>
      <c r="PX4" s="24"/>
      <c r="PY4" s="24"/>
      <c r="PZ4" s="24"/>
      <c r="QA4" s="24"/>
      <c r="QB4" s="24"/>
      <c r="QC4" s="24"/>
      <c r="QD4" s="24"/>
      <c r="QE4" s="24"/>
      <c r="QF4" s="24"/>
      <c r="QG4" s="24"/>
      <c r="QH4" s="24"/>
      <c r="QI4" s="24"/>
      <c r="QJ4" s="24"/>
      <c r="QK4" s="24"/>
      <c r="QL4" s="24"/>
      <c r="QM4" s="24"/>
      <c r="QN4" s="24"/>
      <c r="QO4" s="24"/>
      <c r="QP4" s="24"/>
      <c r="QQ4" s="24"/>
      <c r="QR4" s="24"/>
      <c r="QS4" s="24"/>
      <c r="QT4" s="24"/>
      <c r="QU4" s="24"/>
      <c r="QV4" s="24"/>
      <c r="QW4" s="24"/>
      <c r="QX4" s="24"/>
      <c r="QY4" s="24"/>
      <c r="QZ4" s="24"/>
      <c r="RA4" s="24"/>
      <c r="RB4" s="24"/>
      <c r="RC4" s="24"/>
      <c r="RD4" s="24"/>
      <c r="RE4" s="24"/>
      <c r="RF4" s="24"/>
      <c r="RG4" s="24"/>
      <c r="RH4" s="24"/>
      <c r="RI4" s="24"/>
      <c r="RJ4" s="24"/>
      <c r="RK4" s="24"/>
      <c r="RL4" s="24"/>
      <c r="RM4" s="24"/>
      <c r="RN4" s="24"/>
      <c r="RO4" s="24"/>
      <c r="RP4" s="24"/>
      <c r="RQ4" s="24"/>
      <c r="RR4" s="24"/>
      <c r="RS4" s="24"/>
      <c r="RT4" s="24"/>
      <c r="RU4" s="24"/>
      <c r="RV4" s="24"/>
      <c r="RW4" s="24"/>
      <c r="RX4" s="24"/>
      <c r="RY4" s="24"/>
      <c r="RZ4" s="24"/>
      <c r="SA4" s="24"/>
      <c r="SB4" s="24"/>
      <c r="SC4" s="24"/>
      <c r="SD4" s="24"/>
      <c r="SE4" s="24"/>
      <c r="SF4" s="24"/>
      <c r="SG4" s="24"/>
      <c r="SH4" s="24"/>
      <c r="SI4" s="24"/>
      <c r="SJ4" s="24"/>
      <c r="SK4" s="24"/>
      <c r="SL4" s="24"/>
      <c r="SM4" s="24"/>
      <c r="SN4" s="24"/>
      <c r="SO4" s="24"/>
      <c r="SP4" s="24"/>
      <c r="SQ4" s="24"/>
      <c r="SR4" s="24"/>
      <c r="SS4" s="24"/>
      <c r="ST4" s="24"/>
      <c r="SU4" s="24"/>
      <c r="SV4" s="24"/>
      <c r="SW4" s="24"/>
      <c r="SX4" s="24"/>
      <c r="SY4" s="24"/>
      <c r="SZ4" s="24"/>
      <c r="TA4" s="24"/>
      <c r="TB4" s="24"/>
      <c r="TC4" s="24"/>
      <c r="TD4" s="24"/>
      <c r="TE4" s="24"/>
      <c r="TF4" s="24"/>
      <c r="TG4" s="24"/>
      <c r="TH4" s="24"/>
      <c r="TI4" s="24"/>
      <c r="TJ4" s="24"/>
      <c r="TK4" s="24"/>
      <c r="TL4" s="24"/>
      <c r="TM4" s="24"/>
      <c r="TN4" s="24"/>
      <c r="TO4" s="24"/>
      <c r="TP4" s="24"/>
      <c r="TQ4" s="24"/>
      <c r="TR4" s="24"/>
      <c r="TS4" s="24"/>
      <c r="TT4" s="24"/>
      <c r="TU4" s="24"/>
      <c r="TV4" s="24"/>
      <c r="TW4" s="24"/>
      <c r="TX4" s="24"/>
      <c r="TY4" s="24"/>
      <c r="TZ4" s="24"/>
      <c r="UA4" s="24"/>
      <c r="UB4" s="24"/>
      <c r="UC4" s="24"/>
      <c r="UD4" s="24"/>
      <c r="UE4" s="24"/>
      <c r="UF4" s="24"/>
      <c r="UG4" s="24"/>
      <c r="UH4" s="24"/>
      <c r="UI4" s="24"/>
      <c r="UJ4" s="24"/>
      <c r="UK4" s="24"/>
      <c r="UL4" s="24"/>
      <c r="UM4" s="24"/>
      <c r="UN4" s="24"/>
      <c r="UO4" s="24"/>
      <c r="UP4" s="24"/>
      <c r="UQ4" s="24"/>
      <c r="UR4" s="24"/>
      <c r="US4" s="24"/>
      <c r="UT4" s="24"/>
      <c r="UU4" s="24"/>
      <c r="UV4" s="24"/>
      <c r="UW4" s="24"/>
      <c r="UX4" s="24"/>
      <c r="UY4" s="24"/>
      <c r="UZ4" s="24"/>
      <c r="VA4" s="24"/>
      <c r="VB4" s="24"/>
      <c r="VC4" s="24"/>
      <c r="VD4" s="24"/>
      <c r="VE4" s="24"/>
      <c r="VF4" s="24"/>
      <c r="VG4" s="24"/>
      <c r="VH4" s="24"/>
      <c r="VI4" s="24"/>
      <c r="VJ4" s="24"/>
      <c r="VK4" s="24"/>
      <c r="VL4" s="24"/>
      <c r="VM4" s="24"/>
      <c r="VN4" s="24"/>
      <c r="VO4" s="24"/>
      <c r="VP4" s="24"/>
      <c r="VQ4" s="24"/>
      <c r="VR4" s="24"/>
      <c r="VS4" s="24"/>
      <c r="VT4" s="24"/>
      <c r="VU4" s="24"/>
      <c r="VV4" s="24"/>
      <c r="VW4" s="24"/>
      <c r="VX4" s="24"/>
      <c r="VY4" s="24"/>
      <c r="VZ4" s="24"/>
      <c r="WA4" s="24"/>
      <c r="WB4" s="24"/>
      <c r="WC4" s="24"/>
      <c r="WD4" s="24"/>
      <c r="WE4" s="24"/>
      <c r="WF4" s="24"/>
      <c r="WG4" s="24"/>
      <c r="WH4" s="24"/>
      <c r="WI4" s="24"/>
      <c r="WJ4" s="24"/>
      <c r="WK4" s="24"/>
      <c r="WL4" s="24"/>
      <c r="WM4" s="24"/>
      <c r="WN4" s="24"/>
      <c r="WO4" s="24"/>
      <c r="WP4" s="24"/>
      <c r="WQ4" s="24"/>
      <c r="WR4" s="24"/>
      <c r="WS4" s="24"/>
      <c r="WT4" s="24"/>
      <c r="WU4" s="24"/>
      <c r="WV4" s="24"/>
      <c r="WW4" s="24"/>
      <c r="WX4" s="24"/>
      <c r="WY4" s="24"/>
      <c r="WZ4" s="24"/>
      <c r="XA4" s="24"/>
      <c r="XB4" s="24"/>
      <c r="XC4" s="24"/>
      <c r="XD4" s="24"/>
      <c r="XE4" s="24"/>
      <c r="XF4" s="24"/>
      <c r="XG4" s="24"/>
      <c r="XH4" s="24"/>
      <c r="XI4" s="24"/>
      <c r="XJ4" s="24"/>
      <c r="XK4" s="24"/>
      <c r="XL4" s="24"/>
      <c r="XM4" s="24"/>
      <c r="XN4" s="24"/>
      <c r="XO4" s="24"/>
      <c r="XP4" s="24"/>
      <c r="XQ4" s="24"/>
      <c r="XR4" s="24"/>
      <c r="XS4" s="24"/>
      <c r="XT4" s="24"/>
      <c r="XU4" s="24"/>
      <c r="XV4" s="24"/>
      <c r="XW4" s="24"/>
      <c r="XX4" s="24"/>
      <c r="XY4" s="24"/>
      <c r="XZ4" s="24"/>
      <c r="YA4" s="24"/>
      <c r="YB4" s="24"/>
      <c r="YC4" s="24"/>
      <c r="YD4" s="24"/>
      <c r="YE4" s="24"/>
      <c r="YF4" s="24"/>
      <c r="YG4" s="24"/>
      <c r="YH4" s="24"/>
      <c r="YI4" s="24"/>
      <c r="YJ4" s="24"/>
      <c r="YK4" s="24"/>
      <c r="YL4" s="24"/>
      <c r="YM4" s="24"/>
      <c r="YN4" s="24"/>
      <c r="YO4" s="24"/>
      <c r="YP4" s="24"/>
      <c r="YQ4" s="24"/>
      <c r="YR4" s="24"/>
      <c r="YS4" s="24"/>
      <c r="YT4" s="24"/>
      <c r="YU4" s="24"/>
      <c r="YV4" s="24"/>
      <c r="YW4" s="24"/>
      <c r="YX4" s="24"/>
      <c r="YY4" s="24"/>
      <c r="YZ4" s="24"/>
      <c r="ZA4" s="24"/>
      <c r="ZB4" s="24"/>
      <c r="ZC4" s="24"/>
      <c r="ZD4" s="24"/>
      <c r="ZE4" s="24"/>
      <c r="ZF4" s="24"/>
      <c r="ZG4" s="24"/>
      <c r="ZH4" s="24"/>
      <c r="ZI4" s="24"/>
      <c r="ZJ4" s="24"/>
      <c r="ZK4" s="24"/>
      <c r="ZL4" s="24"/>
      <c r="ZM4" s="24"/>
      <c r="ZN4" s="24"/>
      <c r="ZO4" s="24"/>
      <c r="ZP4" s="24"/>
      <c r="ZQ4" s="24"/>
      <c r="ZR4" s="24"/>
      <c r="ZS4" s="24"/>
      <c r="ZT4" s="24"/>
      <c r="ZU4" s="24"/>
      <c r="ZV4" s="24"/>
      <c r="ZW4" s="24"/>
      <c r="ZX4" s="24"/>
      <c r="ZY4" s="24"/>
      <c r="ZZ4" s="24"/>
      <c r="AAA4" s="24"/>
      <c r="AAB4" s="24"/>
      <c r="AAC4" s="24"/>
      <c r="AAD4" s="24"/>
      <c r="AAE4" s="24"/>
      <c r="AAF4" s="24"/>
      <c r="AAG4" s="24"/>
      <c r="AAH4" s="24"/>
      <c r="AAI4" s="24"/>
      <c r="AAJ4" s="24"/>
      <c r="AAK4" s="24"/>
      <c r="AAL4" s="24"/>
      <c r="AAM4" s="24"/>
      <c r="AAN4" s="24"/>
      <c r="AAO4" s="24"/>
      <c r="AAP4" s="24"/>
      <c r="AAQ4" s="24"/>
      <c r="AAR4" s="24"/>
      <c r="AAS4" s="24"/>
      <c r="AAT4" s="24"/>
      <c r="AAU4" s="24"/>
      <c r="AAV4" s="24"/>
      <c r="AAW4" s="24"/>
      <c r="AAX4" s="24"/>
      <c r="AAY4" s="24"/>
      <c r="AAZ4" s="24"/>
      <c r="ABA4" s="24"/>
      <c r="ABB4" s="24"/>
      <c r="ABC4" s="24"/>
      <c r="ABD4" s="24"/>
      <c r="ABE4" s="24"/>
      <c r="ABF4" s="24"/>
      <c r="ABG4" s="24"/>
      <c r="ABH4" s="24"/>
      <c r="ABI4" s="24"/>
      <c r="ABJ4" s="24"/>
      <c r="ABK4" s="24"/>
      <c r="ABL4" s="24"/>
      <c r="ABM4" s="24"/>
      <c r="ABN4" s="24"/>
      <c r="ABO4" s="24"/>
      <c r="ABP4" s="24"/>
      <c r="ABQ4" s="24"/>
      <c r="ABR4" s="24"/>
      <c r="ABS4" s="24"/>
      <c r="ABT4" s="24"/>
      <c r="ABU4" s="24"/>
      <c r="ABV4" s="24"/>
      <c r="ABW4" s="24"/>
      <c r="ABX4" s="24"/>
      <c r="ABY4" s="24"/>
      <c r="ABZ4" s="24"/>
      <c r="ACA4" s="24"/>
      <c r="ACB4" s="24"/>
      <c r="ACC4" s="24"/>
      <c r="ACD4" s="24"/>
      <c r="ACE4" s="24"/>
      <c r="ACF4" s="24"/>
      <c r="ACG4" s="24"/>
      <c r="ACH4" s="24"/>
      <c r="ACI4" s="24"/>
      <c r="ACJ4" s="24"/>
      <c r="ACK4" s="24"/>
      <c r="ACL4" s="24"/>
      <c r="ACM4" s="24"/>
      <c r="ACN4" s="24"/>
      <c r="ACO4" s="24"/>
      <c r="ACP4" s="24"/>
      <c r="ACQ4" s="24"/>
      <c r="ACR4" s="24"/>
      <c r="ACS4" s="24"/>
      <c r="ACT4" s="24"/>
      <c r="ACU4" s="24"/>
      <c r="ACV4" s="24"/>
      <c r="ACW4" s="24"/>
      <c r="ACX4" s="24"/>
      <c r="ACY4" s="24"/>
      <c r="ACZ4" s="24"/>
      <c r="ADA4" s="24"/>
      <c r="ADB4" s="24"/>
      <c r="ADC4" s="24"/>
      <c r="ADD4" s="24"/>
      <c r="ADE4" s="24"/>
      <c r="ADF4" s="24"/>
      <c r="ADG4" s="24"/>
      <c r="ADH4" s="24"/>
      <c r="ADI4" s="24"/>
      <c r="ADJ4" s="24"/>
      <c r="ADK4" s="24"/>
      <c r="ADL4" s="24"/>
      <c r="ADM4" s="24"/>
      <c r="ADN4" s="24"/>
      <c r="ADO4" s="24"/>
      <c r="ADP4" s="24"/>
      <c r="ADQ4" s="24"/>
      <c r="ADR4" s="24"/>
      <c r="ADS4" s="24"/>
      <c r="ADT4" s="24"/>
      <c r="ADU4" s="24"/>
      <c r="ADV4" s="24"/>
      <c r="ADW4" s="24"/>
      <c r="ADX4" s="24"/>
      <c r="ADY4" s="24"/>
      <c r="ADZ4" s="24"/>
      <c r="AEA4" s="24"/>
      <c r="AEB4" s="24"/>
      <c r="AEC4" s="24"/>
      <c r="AED4" s="24"/>
      <c r="AEE4" s="24"/>
      <c r="AEF4" s="24"/>
      <c r="AEG4" s="24"/>
      <c r="AEH4" s="24"/>
      <c r="AEI4" s="24"/>
      <c r="AEJ4" s="24"/>
      <c r="AEK4" s="24"/>
      <c r="AEL4" s="24"/>
      <c r="AEM4" s="24"/>
      <c r="AEN4" s="24"/>
      <c r="AEO4" s="24"/>
      <c r="AEP4" s="24"/>
      <c r="AEQ4" s="24"/>
      <c r="AER4" s="24"/>
      <c r="AES4" s="24"/>
      <c r="AET4" s="24"/>
      <c r="AEU4" s="24"/>
      <c r="AEV4" s="24"/>
      <c r="AEW4" s="24"/>
      <c r="AEX4" s="24"/>
      <c r="AEY4" s="24"/>
      <c r="AEZ4" s="24"/>
      <c r="AFA4" s="24"/>
      <c r="AFB4" s="24"/>
      <c r="AFC4" s="24"/>
      <c r="AFD4" s="24"/>
      <c r="AFE4" s="24"/>
      <c r="AFF4" s="24"/>
      <c r="AFG4" s="24"/>
      <c r="AFH4" s="24"/>
      <c r="AFI4" s="24"/>
      <c r="AFJ4" s="24"/>
      <c r="AFK4" s="24"/>
      <c r="AFL4" s="24"/>
      <c r="AFM4" s="24"/>
      <c r="AFN4" s="24"/>
      <c r="AFO4" s="24"/>
      <c r="AFP4" s="24"/>
      <c r="AFQ4" s="24"/>
      <c r="AFR4" s="24"/>
      <c r="AFS4" s="24"/>
      <c r="AFT4" s="24"/>
      <c r="AFU4" s="24"/>
      <c r="AFV4" s="24"/>
      <c r="AFW4" s="24"/>
      <c r="AFX4" s="24"/>
      <c r="AFY4" s="24"/>
      <c r="AFZ4" s="24"/>
      <c r="AGA4" s="24"/>
      <c r="AGB4" s="24"/>
      <c r="AGC4" s="24"/>
      <c r="AGD4" s="24"/>
      <c r="AGE4" s="24"/>
      <c r="AGF4" s="24"/>
      <c r="AGG4" s="24"/>
      <c r="AGH4" s="24"/>
      <c r="AGI4" s="24"/>
      <c r="AGJ4" s="24"/>
      <c r="AGK4" s="24"/>
      <c r="AGL4" s="24"/>
      <c r="AGM4" s="24"/>
      <c r="AGN4" s="24"/>
      <c r="AGO4" s="24"/>
      <c r="AGP4" s="24"/>
      <c r="AGQ4" s="24"/>
      <c r="AGR4" s="24"/>
      <c r="AGS4" s="24"/>
      <c r="AGT4" s="24"/>
      <c r="AGU4" s="24"/>
      <c r="AGV4" s="24"/>
      <c r="AGW4" s="24"/>
      <c r="AGX4" s="24"/>
      <c r="AGY4" s="24"/>
      <c r="AGZ4" s="24"/>
      <c r="AHA4" s="24"/>
      <c r="AHB4" s="24"/>
      <c r="AHC4" s="24"/>
      <c r="AHD4" s="24"/>
      <c r="AHE4" s="24"/>
      <c r="AHF4" s="24"/>
      <c r="AHG4" s="24"/>
      <c r="AHH4" s="24"/>
      <c r="AHI4" s="24"/>
      <c r="AHJ4" s="24"/>
      <c r="AHK4" s="24"/>
      <c r="AHL4" s="24"/>
      <c r="AHM4" s="24"/>
      <c r="AHN4" s="24"/>
      <c r="AHO4" s="24"/>
      <c r="AHP4" s="24"/>
      <c r="AHQ4" s="24"/>
      <c r="AHR4" s="24"/>
      <c r="AHS4" s="24"/>
      <c r="AHT4" s="24"/>
      <c r="AHU4" s="24"/>
      <c r="AHV4" s="24"/>
      <c r="AHW4" s="24"/>
      <c r="AHX4" s="24"/>
      <c r="AHY4" s="24"/>
      <c r="AHZ4" s="24"/>
      <c r="AIA4" s="24"/>
      <c r="AIB4" s="24"/>
      <c r="AIC4" s="24"/>
      <c r="AID4" s="24"/>
      <c r="AIE4" s="24"/>
      <c r="AIF4" s="24"/>
      <c r="AIG4" s="24"/>
      <c r="AIH4" s="24"/>
      <c r="AII4" s="24"/>
      <c r="AIJ4" s="24"/>
      <c r="AIK4" s="24"/>
      <c r="AIL4" s="24"/>
      <c r="AIM4" s="24"/>
      <c r="AIN4" s="24"/>
      <c r="AIO4" s="24"/>
      <c r="AIP4" s="24"/>
      <c r="AIQ4" s="24"/>
      <c r="AIR4" s="24"/>
      <c r="AIS4" s="24"/>
      <c r="AIT4" s="24"/>
      <c r="AIU4" s="24"/>
      <c r="AIV4" s="24"/>
      <c r="AIW4" s="24"/>
      <c r="AIX4" s="24"/>
      <c r="AIY4" s="24"/>
      <c r="AIZ4" s="24"/>
      <c r="AJA4" s="24"/>
      <c r="AJB4" s="24"/>
      <c r="AJC4" s="24"/>
      <c r="AJD4" s="24"/>
      <c r="AJE4" s="24"/>
      <c r="AJF4" s="24"/>
      <c r="AJG4" s="24"/>
      <c r="AJH4" s="24"/>
      <c r="AJI4" s="24"/>
      <c r="AJJ4" s="24"/>
      <c r="AJK4" s="24"/>
      <c r="AJL4" s="24"/>
      <c r="AJM4" s="24"/>
      <c r="AJN4" s="24"/>
      <c r="AJO4" s="24"/>
      <c r="AJP4" s="24"/>
      <c r="AJQ4" s="24"/>
      <c r="AJR4" s="24"/>
      <c r="AJS4" s="24"/>
      <c r="AJT4" s="24"/>
      <c r="AJU4" s="24"/>
      <c r="AJV4" s="24"/>
      <c r="AJW4" s="24"/>
      <c r="AJX4" s="24"/>
      <c r="AJY4" s="24"/>
      <c r="AJZ4" s="24"/>
      <c r="AKA4" s="24"/>
      <c r="AKB4" s="24"/>
      <c r="AKC4" s="24"/>
      <c r="AKD4" s="24"/>
      <c r="AKE4" s="24"/>
      <c r="AKF4" s="24"/>
      <c r="AKG4" s="24"/>
      <c r="AKH4" s="24"/>
      <c r="AKI4" s="24"/>
      <c r="AKJ4" s="24"/>
      <c r="AKK4" s="24"/>
      <c r="AKL4" s="24"/>
      <c r="AKM4" s="24"/>
      <c r="AKN4" s="24"/>
      <c r="AKO4" s="24"/>
      <c r="AKP4" s="24"/>
      <c r="AKQ4" s="24"/>
      <c r="AKR4" s="24"/>
      <c r="AKS4" s="24"/>
      <c r="AKT4" s="24"/>
      <c r="AKU4" s="24"/>
      <c r="AKV4" s="24"/>
      <c r="AKW4" s="24"/>
      <c r="AKX4" s="24"/>
      <c r="AKY4" s="24"/>
      <c r="AKZ4" s="24"/>
      <c r="ALA4" s="24"/>
      <c r="ALB4" s="24"/>
      <c r="ALC4" s="24"/>
      <c r="ALD4" s="24"/>
      <c r="ALE4" s="24"/>
      <c r="ALF4" s="24"/>
      <c r="ALG4" s="24"/>
      <c r="ALH4" s="24"/>
      <c r="ALI4" s="24"/>
      <c r="ALJ4" s="24"/>
      <c r="ALK4" s="24"/>
      <c r="ALL4" s="24"/>
      <c r="ALM4" s="24"/>
      <c r="ALN4" s="24"/>
      <c r="ALO4" s="24"/>
      <c r="ALP4" s="24"/>
      <c r="ALQ4" s="24"/>
      <c r="ALR4" s="24"/>
      <c r="ALS4" s="24"/>
      <c r="ALT4" s="24"/>
      <c r="ALU4" s="24"/>
      <c r="ALV4" s="24"/>
      <c r="ALW4" s="24"/>
      <c r="ALX4" s="24"/>
      <c r="ALY4" s="24"/>
      <c r="ALZ4" s="24"/>
      <c r="AMA4" s="24"/>
      <c r="AMB4" s="24"/>
      <c r="AMC4" s="24"/>
      <c r="AMD4" s="24"/>
      <c r="AME4" s="24"/>
      <c r="AMF4" s="24"/>
      <c r="AMG4" s="24"/>
      <c r="AMH4" s="24"/>
      <c r="AMI4" s="24"/>
      <c r="AMJ4" s="24"/>
      <c r="AMK4" s="24"/>
      <c r="AML4" s="24"/>
      <c r="AMM4" s="24"/>
      <c r="AMN4" s="24"/>
      <c r="AMO4" s="24"/>
      <c r="AMP4" s="24"/>
      <c r="AMQ4" s="24"/>
      <c r="AMR4" s="24"/>
      <c r="AMS4" s="24"/>
      <c r="AMT4" s="24"/>
      <c r="AMU4" s="24"/>
      <c r="AMV4" s="24"/>
      <c r="AMW4" s="24"/>
      <c r="AMX4" s="24"/>
      <c r="AMY4" s="24"/>
      <c r="AMZ4" s="24"/>
      <c r="ANA4" s="24"/>
      <c r="ANB4" s="24"/>
      <c r="ANC4" s="24"/>
      <c r="AND4" s="24"/>
      <c r="ANE4" s="24"/>
      <c r="ANF4" s="24"/>
      <c r="ANG4" s="24"/>
      <c r="ANH4" s="24"/>
      <c r="ANI4" s="24"/>
      <c r="ANJ4" s="24"/>
      <c r="ANK4" s="24"/>
      <c r="ANL4" s="24"/>
      <c r="ANM4" s="24"/>
      <c r="ANN4" s="24"/>
      <c r="ANO4" s="24"/>
      <c r="ANP4" s="24"/>
      <c r="ANQ4" s="24"/>
      <c r="ANR4" s="24"/>
      <c r="ANS4" s="24"/>
      <c r="ANT4" s="24"/>
      <c r="ANU4" s="24"/>
      <c r="ANV4" s="24"/>
      <c r="ANW4" s="24"/>
      <c r="ANX4" s="24"/>
      <c r="ANY4" s="24"/>
      <c r="ANZ4" s="24"/>
      <c r="AOA4" s="24"/>
      <c r="AOB4" s="24"/>
      <c r="AOC4" s="24"/>
      <c r="AOD4" s="24"/>
      <c r="AOE4" s="24"/>
      <c r="AOF4" s="24"/>
      <c r="AOG4" s="24"/>
      <c r="AOH4" s="24"/>
      <c r="AOI4" s="24"/>
      <c r="AOJ4" s="24"/>
      <c r="AOK4" s="24"/>
      <c r="AOL4" s="24"/>
      <c r="AOM4" s="24"/>
      <c r="AON4" s="24"/>
      <c r="AOO4" s="24"/>
      <c r="AOP4" s="24"/>
      <c r="AOQ4" s="24"/>
      <c r="AOR4" s="24"/>
      <c r="AOS4" s="24"/>
      <c r="AOT4" s="24"/>
      <c r="AOU4" s="24"/>
      <c r="AOV4" s="24"/>
      <c r="AOW4" s="24"/>
      <c r="AOX4" s="24"/>
      <c r="AOY4" s="24"/>
      <c r="AOZ4" s="24"/>
      <c r="APA4" s="24"/>
      <c r="APB4" s="24"/>
      <c r="APC4" s="24"/>
      <c r="APD4" s="24"/>
      <c r="APE4" s="24"/>
      <c r="APF4" s="24"/>
      <c r="APG4" s="24"/>
      <c r="APH4" s="24"/>
      <c r="API4" s="24"/>
      <c r="APJ4" s="24"/>
      <c r="APK4" s="24"/>
      <c r="APL4" s="24"/>
      <c r="APM4" s="24"/>
      <c r="APN4" s="24"/>
      <c r="APO4" s="24"/>
      <c r="APP4" s="24"/>
      <c r="APQ4" s="24"/>
      <c r="APR4" s="24"/>
      <c r="APS4" s="24"/>
      <c r="APT4" s="24"/>
      <c r="APU4" s="24"/>
      <c r="APV4" s="24"/>
      <c r="APW4" s="24"/>
      <c r="APX4" s="24"/>
      <c r="APY4" s="24"/>
      <c r="APZ4" s="24"/>
      <c r="AQA4" s="24"/>
      <c r="AQB4" s="24"/>
      <c r="AQC4" s="24"/>
      <c r="AQD4" s="24"/>
      <c r="AQE4" s="24"/>
      <c r="AQF4" s="24"/>
      <c r="AQG4" s="24"/>
      <c r="AQH4" s="24"/>
      <c r="AQI4" s="24"/>
      <c r="AQJ4" s="24"/>
      <c r="AQK4" s="24"/>
      <c r="AQL4" s="24"/>
      <c r="AQM4" s="24"/>
      <c r="AQN4" s="24"/>
      <c r="AQO4" s="24"/>
      <c r="AQP4" s="24"/>
      <c r="AQQ4" s="24"/>
      <c r="AQR4" s="24"/>
      <c r="AQS4" s="24"/>
      <c r="AQT4" s="24"/>
      <c r="AQU4" s="24"/>
      <c r="AQV4" s="24"/>
      <c r="AQW4" s="24"/>
      <c r="AQX4" s="24"/>
      <c r="AQY4" s="24"/>
      <c r="AQZ4" s="24"/>
      <c r="ARA4" s="24"/>
      <c r="ARB4" s="24"/>
      <c r="ARC4" s="24"/>
      <c r="ARD4" s="24"/>
      <c r="ARE4" s="24"/>
      <c r="ARF4" s="24"/>
      <c r="ARG4" s="24"/>
      <c r="ARH4" s="24"/>
      <c r="ARI4" s="24"/>
      <c r="ARJ4" s="24"/>
      <c r="ARK4" s="24"/>
      <c r="ARL4" s="24"/>
      <c r="ARM4" s="24"/>
      <c r="ARN4" s="24"/>
      <c r="ARO4" s="24"/>
      <c r="ARP4" s="24"/>
      <c r="ARQ4" s="24"/>
      <c r="ARR4" s="24"/>
      <c r="ARS4" s="24"/>
      <c r="ART4" s="24"/>
      <c r="ARU4" s="24"/>
      <c r="ARV4" s="24"/>
      <c r="ARW4" s="24"/>
      <c r="ARX4" s="24"/>
      <c r="ARY4" s="24"/>
      <c r="ARZ4" s="24"/>
      <c r="ASA4" s="24"/>
      <c r="ASB4" s="24"/>
      <c r="ASC4" s="24"/>
      <c r="ASD4" s="24"/>
      <c r="ASE4" s="24"/>
      <c r="ASF4" s="24"/>
      <c r="ASG4" s="24"/>
      <c r="ASH4" s="24"/>
      <c r="ASI4" s="24"/>
      <c r="ASJ4" s="24"/>
      <c r="ASK4" s="24"/>
      <c r="ASL4" s="24"/>
      <c r="ASM4" s="24"/>
      <c r="ASN4" s="24"/>
      <c r="ASO4" s="24"/>
      <c r="ASP4" s="24"/>
      <c r="ASQ4" s="24"/>
      <c r="ASR4" s="24"/>
      <c r="ASS4" s="24"/>
      <c r="AST4" s="24"/>
      <c r="ASU4" s="24"/>
      <c r="ASV4" s="24"/>
      <c r="ASW4" s="24"/>
      <c r="ASX4" s="24"/>
      <c r="ASY4" s="24"/>
      <c r="ASZ4" s="24"/>
      <c r="ATA4" s="24"/>
      <c r="ATB4" s="24"/>
      <c r="ATC4" s="24"/>
      <c r="ATD4" s="24"/>
      <c r="ATE4" s="24"/>
      <c r="ATF4" s="24"/>
      <c r="ATG4" s="24"/>
      <c r="ATH4" s="24"/>
      <c r="ATI4" s="24"/>
      <c r="ATJ4" s="24"/>
      <c r="ATK4" s="24"/>
      <c r="ATL4" s="24"/>
      <c r="ATM4" s="24"/>
      <c r="ATN4" s="24"/>
      <c r="ATO4" s="24"/>
      <c r="ATP4" s="24"/>
      <c r="ATQ4" s="24"/>
      <c r="ATR4" s="24"/>
      <c r="ATS4" s="24"/>
      <c r="ATT4" s="24"/>
      <c r="ATU4" s="24"/>
      <c r="ATV4" s="24"/>
      <c r="ATW4" s="24"/>
      <c r="ATX4" s="24"/>
      <c r="ATY4" s="24"/>
      <c r="ATZ4" s="24"/>
      <c r="AUA4" s="24"/>
      <c r="AUB4" s="24"/>
      <c r="AUC4" s="24"/>
      <c r="AUD4" s="24"/>
      <c r="AUE4" s="24"/>
      <c r="AUF4" s="24"/>
      <c r="AUG4" s="24"/>
      <c r="AUH4" s="24"/>
      <c r="AUI4" s="24"/>
      <c r="AUJ4" s="24"/>
      <c r="AUK4" s="24"/>
      <c r="AUL4" s="24"/>
      <c r="AUM4" s="24"/>
      <c r="AUN4" s="24"/>
      <c r="AUO4" s="24"/>
      <c r="AUP4" s="24"/>
      <c r="AUQ4" s="24"/>
      <c r="AUR4" s="24"/>
      <c r="AUS4" s="24"/>
      <c r="AUT4" s="24"/>
      <c r="AUU4" s="24"/>
      <c r="AUV4" s="24"/>
      <c r="AUW4" s="24"/>
      <c r="AUX4" s="24"/>
      <c r="AUY4" s="24"/>
      <c r="AUZ4" s="24"/>
      <c r="AVA4" s="24"/>
      <c r="AVB4" s="24"/>
      <c r="AVC4" s="24"/>
      <c r="AVD4" s="24"/>
      <c r="AVE4" s="24"/>
      <c r="AVF4" s="24"/>
      <c r="AVG4" s="24"/>
      <c r="AVH4" s="24"/>
      <c r="AVI4" s="24"/>
      <c r="AVJ4" s="24"/>
      <c r="AVK4" s="24"/>
      <c r="AVL4" s="24"/>
      <c r="AVM4" s="24"/>
      <c r="AVN4" s="24"/>
      <c r="AVO4" s="24"/>
      <c r="AVP4" s="24"/>
      <c r="AVQ4" s="24"/>
      <c r="AVR4" s="24"/>
      <c r="AVS4" s="24"/>
      <c r="AVT4" s="24"/>
      <c r="AVU4" s="24"/>
      <c r="AVV4" s="24"/>
      <c r="AVW4" s="24"/>
      <c r="AVX4" s="24"/>
      <c r="AVY4" s="24"/>
      <c r="AVZ4" s="24"/>
      <c r="AWA4" s="24"/>
      <c r="AWB4" s="24"/>
      <c r="AWC4" s="24"/>
      <c r="AWD4" s="24"/>
      <c r="AWE4" s="24"/>
      <c r="AWF4" s="24"/>
      <c r="AWG4" s="24"/>
      <c r="AWH4" s="24"/>
      <c r="AWI4" s="24"/>
      <c r="AWJ4" s="24"/>
      <c r="AWK4" s="24"/>
      <c r="AWL4" s="24"/>
      <c r="AWM4" s="24"/>
      <c r="AWN4" s="24"/>
      <c r="AWO4" s="24"/>
      <c r="AWP4" s="24"/>
      <c r="AWQ4" s="24"/>
      <c r="AWR4" s="24"/>
      <c r="AWS4" s="24"/>
      <c r="AWT4" s="24"/>
      <c r="AWU4" s="24"/>
      <c r="AWV4" s="24"/>
      <c r="AWW4" s="24"/>
      <c r="AWX4" s="24"/>
      <c r="AWY4" s="24"/>
      <c r="AWZ4" s="24"/>
      <c r="AXA4" s="24"/>
      <c r="AXB4" s="24"/>
      <c r="AXC4" s="24"/>
      <c r="AXD4" s="24"/>
      <c r="AXE4" s="24"/>
      <c r="AXF4" s="24"/>
      <c r="AXG4" s="24"/>
      <c r="AXH4" s="24"/>
      <c r="AXI4" s="24"/>
      <c r="AXJ4" s="24"/>
      <c r="AXK4" s="24"/>
      <c r="AXL4" s="24"/>
      <c r="AXM4" s="24"/>
      <c r="AXN4" s="24"/>
      <c r="AXO4" s="24"/>
      <c r="AXP4" s="24"/>
      <c r="AXQ4" s="24"/>
      <c r="AXR4" s="24"/>
      <c r="AXS4" s="24"/>
      <c r="AXT4" s="24"/>
      <c r="AXU4" s="24"/>
      <c r="AXV4" s="24"/>
      <c r="AXW4" s="24"/>
      <c r="AXX4" s="24"/>
      <c r="AXY4" s="24"/>
      <c r="AXZ4" s="24"/>
      <c r="AYA4" s="24"/>
      <c r="AYB4" s="24"/>
      <c r="AYC4" s="24"/>
      <c r="AYD4" s="24"/>
      <c r="AYE4" s="24"/>
      <c r="AYF4" s="24"/>
      <c r="AYG4" s="24"/>
      <c r="AYH4" s="24"/>
      <c r="AYI4" s="24"/>
      <c r="AYJ4" s="24"/>
      <c r="AYK4" s="24"/>
      <c r="AYL4" s="24"/>
      <c r="AYM4" s="24"/>
      <c r="AYN4" s="24"/>
      <c r="AYO4" s="24"/>
      <c r="AYP4" s="24"/>
      <c r="AYQ4" s="24"/>
      <c r="AYR4" s="24"/>
      <c r="AYS4" s="24"/>
      <c r="AYT4" s="24"/>
      <c r="AYU4" s="24"/>
      <c r="AYV4" s="24"/>
      <c r="AYW4" s="24"/>
      <c r="AYX4" s="24"/>
      <c r="AYY4" s="24"/>
      <c r="AYZ4" s="24"/>
      <c r="AZA4" s="24"/>
      <c r="AZB4" s="24"/>
      <c r="AZC4" s="24"/>
      <c r="AZD4" s="24"/>
      <c r="AZE4" s="24"/>
      <c r="AZF4" s="24"/>
      <c r="AZG4" s="24"/>
      <c r="AZH4" s="24"/>
      <c r="AZI4" s="24"/>
      <c r="AZJ4" s="24"/>
      <c r="AZK4" s="24"/>
      <c r="AZL4" s="24"/>
      <c r="AZM4" s="24"/>
      <c r="AZN4" s="24"/>
      <c r="AZO4" s="24"/>
      <c r="AZP4" s="24"/>
      <c r="AZQ4" s="24"/>
      <c r="AZR4" s="24"/>
      <c r="AZS4" s="24"/>
      <c r="AZT4" s="24"/>
      <c r="AZU4" s="24"/>
      <c r="AZV4" s="24"/>
      <c r="AZW4" s="24"/>
      <c r="AZX4" s="24"/>
      <c r="AZY4" s="24"/>
      <c r="AZZ4" s="24"/>
      <c r="BAA4" s="24"/>
      <c r="BAB4" s="24"/>
      <c r="BAC4" s="24"/>
      <c r="BAD4" s="24"/>
      <c r="BAE4" s="24"/>
      <c r="BAF4" s="24"/>
      <c r="BAG4" s="24"/>
      <c r="BAH4" s="24"/>
      <c r="BAI4" s="24"/>
      <c r="BAJ4" s="24"/>
      <c r="BAK4" s="24"/>
      <c r="BAL4" s="24"/>
      <c r="BAM4" s="24"/>
      <c r="BAN4" s="24"/>
      <c r="BAO4" s="24"/>
      <c r="BAP4" s="24"/>
      <c r="BAQ4" s="24"/>
      <c r="BAR4" s="24"/>
      <c r="BAS4" s="24"/>
      <c r="BAT4" s="24"/>
      <c r="BAU4" s="24"/>
      <c r="BAV4" s="24"/>
      <c r="BAW4" s="24"/>
      <c r="BAX4" s="24"/>
      <c r="BAY4" s="24"/>
      <c r="BAZ4" s="24"/>
      <c r="BBA4" s="24"/>
      <c r="BBB4" s="24"/>
      <c r="BBC4" s="24"/>
      <c r="BBD4" s="24"/>
      <c r="BBE4" s="24"/>
      <c r="BBF4" s="24"/>
      <c r="BBG4" s="24"/>
      <c r="BBH4" s="24"/>
      <c r="BBI4" s="24"/>
      <c r="BBJ4" s="24"/>
      <c r="BBK4" s="24"/>
      <c r="BBL4" s="24"/>
      <c r="BBM4" s="24"/>
      <c r="BBN4" s="24"/>
      <c r="BBO4" s="24"/>
      <c r="BBP4" s="24"/>
      <c r="BBQ4" s="24"/>
      <c r="BBR4" s="24"/>
    </row>
    <row r="5" spans="1:1422" ht="35.4" customHeight="1" x14ac:dyDescent="0.3">
      <c r="B5" s="72"/>
      <c r="C5" s="66" t="s">
        <v>334</v>
      </c>
      <c r="I5" s="44"/>
      <c r="J5" s="43"/>
      <c r="L5" s="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2"/>
      <c r="OI5" s="42"/>
      <c r="OJ5" s="42"/>
      <c r="OK5" s="42"/>
      <c r="OL5" s="42"/>
      <c r="OM5" s="42"/>
      <c r="ON5" s="42"/>
      <c r="OO5" s="42"/>
      <c r="OP5" s="42"/>
      <c r="OQ5" s="42"/>
      <c r="OR5" s="42"/>
      <c r="OS5" s="42"/>
      <c r="OT5" s="42"/>
      <c r="OU5" s="42"/>
      <c r="OV5" s="42"/>
      <c r="OW5" s="42"/>
      <c r="OX5" s="42"/>
      <c r="OY5" s="42"/>
      <c r="OZ5" s="42"/>
      <c r="PA5" s="42"/>
      <c r="PB5" s="42"/>
      <c r="PC5" s="42"/>
      <c r="PD5" s="42"/>
      <c r="PE5" s="42"/>
      <c r="PF5" s="42"/>
      <c r="PG5" s="42"/>
      <c r="PH5" s="42"/>
      <c r="PI5" s="42"/>
      <c r="PJ5" s="42"/>
      <c r="PK5" s="42"/>
      <c r="PL5" s="42"/>
      <c r="PM5" s="42"/>
      <c r="PN5" s="42"/>
      <c r="PO5" s="42"/>
      <c r="PP5" s="42"/>
      <c r="PQ5" s="42"/>
      <c r="PR5" s="42"/>
      <c r="PS5" s="42"/>
      <c r="PT5" s="42"/>
      <c r="PU5" s="42"/>
      <c r="PV5" s="42"/>
      <c r="PW5" s="42"/>
      <c r="PX5" s="42"/>
      <c r="PY5" s="42"/>
      <c r="PZ5" s="42"/>
      <c r="QA5" s="42"/>
      <c r="QB5" s="42"/>
      <c r="QC5" s="42"/>
      <c r="QD5" s="42"/>
      <c r="QE5" s="42"/>
      <c r="QF5" s="42"/>
      <c r="QG5" s="42"/>
      <c r="QH5" s="42"/>
      <c r="QI5" s="42"/>
      <c r="QJ5" s="42"/>
      <c r="QK5" s="42"/>
      <c r="QL5" s="42"/>
      <c r="QM5" s="42"/>
      <c r="QN5" s="42"/>
      <c r="QO5" s="42"/>
      <c r="QP5" s="42"/>
      <c r="QQ5" s="42"/>
      <c r="QR5" s="42"/>
      <c r="QS5" s="42"/>
      <c r="QT5" s="42"/>
      <c r="QU5" s="42"/>
      <c r="QV5" s="42"/>
      <c r="QW5" s="42"/>
      <c r="QX5" s="42"/>
      <c r="QY5" s="42"/>
      <c r="QZ5" s="42"/>
      <c r="RA5" s="42"/>
      <c r="RB5" s="42"/>
      <c r="RC5" s="42"/>
      <c r="RD5" s="42"/>
      <c r="RE5" s="42"/>
      <c r="RF5" s="42"/>
      <c r="RG5" s="42"/>
      <c r="RH5" s="42"/>
      <c r="RI5" s="42"/>
      <c r="RJ5" s="42"/>
      <c r="RK5" s="42"/>
      <c r="RL5" s="42"/>
      <c r="RM5" s="42"/>
      <c r="RN5" s="42"/>
      <c r="RO5" s="42"/>
      <c r="RP5" s="42"/>
      <c r="RQ5" s="42"/>
      <c r="RR5" s="42"/>
      <c r="RS5" s="42"/>
      <c r="RT5" s="42"/>
      <c r="RU5" s="42"/>
      <c r="RV5" s="42"/>
      <c r="RW5" s="42"/>
      <c r="RX5" s="42"/>
      <c r="RY5" s="42"/>
      <c r="RZ5" s="42"/>
      <c r="SA5" s="42"/>
      <c r="SB5" s="42"/>
      <c r="SC5" s="42"/>
      <c r="SD5" s="42"/>
      <c r="SE5" s="42"/>
      <c r="SF5" s="42"/>
      <c r="SG5" s="42"/>
      <c r="SH5" s="42"/>
      <c r="SI5" s="42"/>
      <c r="SJ5" s="42"/>
      <c r="SK5" s="42"/>
      <c r="SL5" s="42"/>
      <c r="SM5" s="42"/>
      <c r="SN5" s="42"/>
      <c r="SO5" s="42"/>
      <c r="SP5" s="42"/>
      <c r="SQ5" s="42"/>
      <c r="SR5" s="42"/>
      <c r="SS5" s="42"/>
      <c r="ST5" s="42"/>
      <c r="SU5" s="42"/>
      <c r="SV5" s="42"/>
      <c r="SW5" s="42"/>
      <c r="SX5" s="42"/>
      <c r="SY5" s="42"/>
      <c r="SZ5" s="42"/>
      <c r="TA5" s="42"/>
      <c r="TB5" s="42"/>
      <c r="TC5" s="42"/>
      <c r="TD5" s="42"/>
      <c r="TE5" s="42"/>
      <c r="TF5" s="42"/>
      <c r="TG5" s="42"/>
      <c r="TH5" s="42"/>
      <c r="TI5" s="42"/>
      <c r="TJ5" s="42"/>
      <c r="TK5" s="42"/>
      <c r="TL5" s="42"/>
      <c r="TM5" s="42"/>
      <c r="TN5" s="42"/>
      <c r="TO5" s="42"/>
      <c r="TP5" s="42"/>
      <c r="TQ5" s="42"/>
      <c r="TR5" s="42"/>
      <c r="TS5" s="42"/>
      <c r="TT5" s="42"/>
      <c r="TU5" s="42"/>
      <c r="TV5" s="42"/>
      <c r="TW5" s="42"/>
      <c r="TX5" s="42"/>
      <c r="TY5" s="42"/>
      <c r="TZ5" s="42"/>
      <c r="UA5" s="42"/>
      <c r="UB5" s="42"/>
      <c r="UC5" s="42"/>
      <c r="UD5" s="42"/>
      <c r="UE5" s="42"/>
      <c r="UF5" s="42"/>
      <c r="UG5" s="42"/>
      <c r="UH5" s="42"/>
      <c r="UI5" s="42"/>
      <c r="UJ5" s="42"/>
      <c r="UK5" s="42"/>
      <c r="UL5" s="42"/>
      <c r="UM5" s="42"/>
      <c r="UN5" s="42"/>
      <c r="UO5" s="42"/>
      <c r="UP5" s="42"/>
      <c r="UQ5" s="42"/>
      <c r="UR5" s="42"/>
      <c r="US5" s="42"/>
      <c r="UT5" s="42"/>
      <c r="UU5" s="42"/>
      <c r="UV5" s="42"/>
      <c r="UW5" s="42"/>
      <c r="UX5" s="42"/>
      <c r="UY5" s="42"/>
      <c r="UZ5" s="42"/>
      <c r="VA5" s="42"/>
      <c r="VB5" s="42"/>
      <c r="VC5" s="42"/>
      <c r="VD5" s="42"/>
      <c r="VE5" s="42"/>
      <c r="VF5" s="42"/>
      <c r="VG5" s="42"/>
      <c r="VH5" s="42"/>
      <c r="VI5" s="42"/>
      <c r="VJ5" s="42"/>
      <c r="VK5" s="42"/>
      <c r="VL5" s="42"/>
      <c r="VM5" s="42"/>
      <c r="VN5" s="42"/>
      <c r="VO5" s="42"/>
      <c r="VP5" s="42"/>
      <c r="VQ5" s="42"/>
      <c r="VR5" s="42"/>
      <c r="VS5" s="42"/>
      <c r="VT5" s="42"/>
      <c r="VU5" s="42"/>
      <c r="VV5" s="42"/>
      <c r="VW5" s="42"/>
      <c r="VX5" s="42"/>
      <c r="VY5" s="42"/>
      <c r="VZ5" s="42"/>
      <c r="WA5" s="42"/>
      <c r="WB5" s="42"/>
      <c r="WC5" s="42"/>
      <c r="WD5" s="42"/>
      <c r="WE5" s="42"/>
      <c r="WF5" s="42"/>
      <c r="WG5" s="42"/>
      <c r="WH5" s="42"/>
      <c r="WI5" s="42"/>
      <c r="WJ5" s="42"/>
      <c r="WK5" s="42"/>
      <c r="WL5" s="42"/>
      <c r="WM5" s="42"/>
      <c r="WN5" s="42"/>
      <c r="WO5" s="42"/>
      <c r="WP5" s="42"/>
      <c r="WQ5" s="42"/>
      <c r="WR5" s="42"/>
      <c r="WS5" s="42"/>
      <c r="WT5" s="42"/>
      <c r="WU5" s="42"/>
      <c r="WV5" s="42"/>
      <c r="WW5" s="42"/>
      <c r="WX5" s="42"/>
      <c r="WY5" s="42"/>
      <c r="WZ5" s="42"/>
      <c r="XA5" s="42"/>
      <c r="XB5" s="42"/>
      <c r="XC5" s="42"/>
      <c r="XD5" s="42"/>
      <c r="XE5" s="42"/>
      <c r="XF5" s="42"/>
      <c r="XG5" s="42"/>
      <c r="XH5" s="42"/>
      <c r="XI5" s="42"/>
      <c r="XJ5" s="42"/>
      <c r="XK5" s="42"/>
      <c r="XL5" s="42"/>
      <c r="XM5" s="42"/>
      <c r="XN5" s="42"/>
      <c r="XO5" s="42"/>
      <c r="XP5" s="42"/>
      <c r="XQ5" s="42"/>
      <c r="XR5" s="42"/>
      <c r="XS5" s="42"/>
      <c r="XT5" s="42"/>
      <c r="XU5" s="42"/>
      <c r="XV5" s="42"/>
      <c r="XW5" s="42"/>
      <c r="XX5" s="42"/>
      <c r="XY5" s="42"/>
      <c r="XZ5" s="42"/>
      <c r="YA5" s="42"/>
      <c r="YB5" s="42"/>
      <c r="YC5" s="42"/>
      <c r="YD5" s="42"/>
      <c r="YE5" s="42"/>
      <c r="YF5" s="42"/>
      <c r="YG5" s="42"/>
      <c r="YH5" s="42"/>
      <c r="YI5" s="42"/>
      <c r="YJ5" s="42"/>
      <c r="YK5" s="42"/>
      <c r="YL5" s="42"/>
      <c r="YM5" s="42"/>
      <c r="YN5" s="42"/>
      <c r="YO5" s="42"/>
      <c r="YP5" s="42"/>
      <c r="YQ5" s="42"/>
      <c r="YR5" s="42"/>
      <c r="YS5" s="42"/>
      <c r="YT5" s="42"/>
      <c r="YU5" s="42"/>
      <c r="YV5" s="42"/>
      <c r="YW5" s="42"/>
      <c r="YX5" s="42"/>
      <c r="YY5" s="42"/>
      <c r="YZ5" s="42"/>
      <c r="ZA5" s="42"/>
      <c r="ZB5" s="42"/>
      <c r="ZC5" s="42"/>
      <c r="ZD5" s="42"/>
      <c r="ZE5" s="42"/>
      <c r="ZF5" s="42"/>
      <c r="ZG5" s="42"/>
      <c r="ZH5" s="42"/>
      <c r="ZI5" s="42"/>
      <c r="ZJ5" s="42"/>
      <c r="ZK5" s="42"/>
      <c r="ZL5" s="42"/>
      <c r="ZM5" s="42"/>
      <c r="ZN5" s="42"/>
      <c r="ZO5" s="42"/>
      <c r="ZP5" s="42"/>
      <c r="ZQ5" s="42"/>
      <c r="ZR5" s="42"/>
      <c r="ZS5" s="42"/>
      <c r="ZT5" s="42"/>
      <c r="ZU5" s="42"/>
      <c r="ZV5" s="42"/>
      <c r="ZW5" s="42"/>
      <c r="ZX5" s="42"/>
      <c r="ZY5" s="42"/>
      <c r="ZZ5" s="42"/>
      <c r="AAA5" s="42"/>
      <c r="AAB5" s="42"/>
      <c r="AAC5" s="42"/>
      <c r="AAD5" s="42"/>
      <c r="AAE5" s="42"/>
      <c r="AAF5" s="42"/>
      <c r="AAG5" s="42"/>
      <c r="AAH5" s="42"/>
      <c r="AAI5" s="42"/>
      <c r="AAJ5" s="42"/>
      <c r="AAK5" s="42"/>
      <c r="AAL5" s="42"/>
      <c r="AAM5" s="42"/>
      <c r="AAN5" s="42"/>
      <c r="AAO5" s="42"/>
      <c r="AAP5" s="42"/>
      <c r="AAQ5" s="42"/>
      <c r="AAR5" s="42"/>
      <c r="AAS5" s="42"/>
      <c r="AAT5" s="42"/>
      <c r="AAU5" s="42"/>
      <c r="AAV5" s="42"/>
      <c r="AAW5" s="42"/>
      <c r="AAX5" s="42"/>
      <c r="AAY5" s="42"/>
      <c r="AAZ5" s="42"/>
      <c r="ABA5" s="42"/>
      <c r="ABB5" s="42"/>
      <c r="ABC5" s="42"/>
      <c r="ABD5" s="42"/>
      <c r="ABE5" s="42"/>
      <c r="ABF5" s="42"/>
      <c r="ABG5" s="42"/>
      <c r="ABH5" s="42"/>
      <c r="ABI5" s="42"/>
      <c r="ABJ5" s="42"/>
      <c r="ABK5" s="42"/>
      <c r="ABL5" s="42"/>
      <c r="ABM5" s="42"/>
      <c r="ABN5" s="42"/>
      <c r="ABO5" s="42"/>
      <c r="ABP5" s="42"/>
      <c r="ABQ5" s="42"/>
      <c r="ABR5" s="42"/>
      <c r="ABS5" s="42"/>
      <c r="ABT5" s="42"/>
      <c r="ABU5" s="42"/>
      <c r="ABV5" s="42"/>
      <c r="ABW5" s="42"/>
      <c r="ABX5" s="42"/>
      <c r="ABY5" s="42"/>
      <c r="ABZ5" s="42"/>
      <c r="ACA5" s="42"/>
      <c r="ACB5" s="42"/>
      <c r="ACC5" s="42"/>
      <c r="ACD5" s="42"/>
      <c r="ACE5" s="42"/>
      <c r="ACF5" s="42"/>
      <c r="ACG5" s="42"/>
      <c r="ACH5" s="42"/>
      <c r="ACI5" s="42"/>
      <c r="ACJ5" s="42"/>
      <c r="ACK5" s="42"/>
      <c r="ACL5" s="42"/>
      <c r="ACM5" s="42"/>
      <c r="ACN5" s="42"/>
      <c r="ACO5" s="42"/>
      <c r="ACP5" s="42"/>
      <c r="ACQ5" s="42"/>
      <c r="ACR5" s="42"/>
      <c r="ACS5" s="42"/>
      <c r="ACT5" s="42"/>
      <c r="ACU5" s="42"/>
      <c r="ACV5" s="42"/>
      <c r="ACW5" s="42"/>
      <c r="ACX5" s="42"/>
      <c r="ACY5" s="42"/>
      <c r="ACZ5" s="42"/>
      <c r="ADA5" s="42"/>
      <c r="ADB5" s="42"/>
      <c r="ADC5" s="42"/>
      <c r="ADD5" s="42"/>
      <c r="ADE5" s="42"/>
      <c r="ADF5" s="42"/>
      <c r="ADG5" s="42"/>
      <c r="ADH5" s="42"/>
      <c r="ADI5" s="42"/>
      <c r="ADJ5" s="42"/>
      <c r="ADK5" s="42"/>
      <c r="ADL5" s="42"/>
      <c r="ADM5" s="42"/>
      <c r="ADN5" s="42"/>
      <c r="ADO5" s="42"/>
      <c r="ADP5" s="42"/>
      <c r="ADQ5" s="42"/>
      <c r="ADR5" s="42"/>
      <c r="ADS5" s="42"/>
      <c r="ADT5" s="42"/>
      <c r="ADU5" s="42"/>
      <c r="ADV5" s="42"/>
      <c r="ADW5" s="42"/>
      <c r="ADX5" s="42"/>
      <c r="ADY5" s="42"/>
      <c r="ADZ5" s="42"/>
      <c r="AEA5" s="42"/>
      <c r="AEB5" s="42"/>
      <c r="AEC5" s="42"/>
      <c r="AED5" s="42"/>
      <c r="AEE5" s="42"/>
      <c r="AEF5" s="42"/>
      <c r="AEG5" s="42"/>
      <c r="AEH5" s="42"/>
      <c r="AEI5" s="42"/>
      <c r="AEJ5" s="42"/>
      <c r="AEK5" s="42"/>
      <c r="AEL5" s="42"/>
      <c r="AEM5" s="42"/>
      <c r="AEN5" s="42"/>
      <c r="AEO5" s="42"/>
      <c r="AEP5" s="42"/>
      <c r="AEQ5" s="42"/>
      <c r="AER5" s="42"/>
      <c r="AES5" s="42"/>
      <c r="AET5" s="42"/>
      <c r="AEU5" s="42"/>
      <c r="AEV5" s="42"/>
      <c r="AEW5" s="42"/>
      <c r="AEX5" s="42"/>
      <c r="AEY5" s="42"/>
      <c r="AEZ5" s="42"/>
      <c r="AFA5" s="42"/>
      <c r="AFB5" s="42"/>
      <c r="AFC5" s="42"/>
      <c r="AFD5" s="42"/>
      <c r="AFE5" s="42"/>
      <c r="AFF5" s="42"/>
      <c r="AFG5" s="42"/>
      <c r="AFH5" s="42"/>
      <c r="AFI5" s="42"/>
      <c r="AFJ5" s="42"/>
      <c r="AFK5" s="42"/>
      <c r="AFL5" s="42"/>
      <c r="AFM5" s="42"/>
      <c r="AFN5" s="42"/>
      <c r="AFO5" s="42"/>
      <c r="AFP5" s="42"/>
      <c r="AFQ5" s="42"/>
      <c r="AFR5" s="42"/>
      <c r="AFS5" s="42"/>
      <c r="AFT5" s="42"/>
      <c r="AFU5" s="42"/>
      <c r="AFV5" s="42"/>
      <c r="AFW5" s="42"/>
      <c r="AFX5" s="42"/>
      <c r="AFY5" s="42"/>
      <c r="AFZ5" s="42"/>
      <c r="AGA5" s="42"/>
      <c r="AGB5" s="42"/>
      <c r="AGC5" s="42"/>
      <c r="AGD5" s="42"/>
      <c r="AGE5" s="42"/>
      <c r="AGF5" s="42"/>
      <c r="AGG5" s="42"/>
      <c r="AGH5" s="42"/>
      <c r="AGI5" s="42"/>
      <c r="AGJ5" s="42"/>
      <c r="AGK5" s="42"/>
      <c r="AGL5" s="42"/>
      <c r="AGM5" s="42"/>
      <c r="AGN5" s="42"/>
      <c r="AGO5" s="42"/>
      <c r="AGP5" s="42"/>
      <c r="AGQ5" s="42"/>
      <c r="AGR5" s="42"/>
      <c r="AGS5" s="42"/>
      <c r="AGT5" s="42"/>
      <c r="AGU5" s="42"/>
      <c r="AGV5" s="42"/>
      <c r="AGW5" s="42"/>
      <c r="AGX5" s="42"/>
      <c r="AGY5" s="42"/>
      <c r="AGZ5" s="42"/>
      <c r="AHA5" s="42"/>
      <c r="AHB5" s="42"/>
      <c r="AHC5" s="42"/>
      <c r="AHD5" s="42"/>
      <c r="AHE5" s="42"/>
      <c r="AHF5" s="42"/>
      <c r="AHG5" s="42"/>
      <c r="AHH5" s="42"/>
      <c r="AHI5" s="42"/>
      <c r="AHJ5" s="42"/>
      <c r="AHK5" s="42"/>
      <c r="AHL5" s="42"/>
      <c r="AHM5" s="42"/>
      <c r="AHN5" s="42"/>
      <c r="AHO5" s="42"/>
      <c r="AHP5" s="42"/>
      <c r="AHQ5" s="42"/>
      <c r="AHR5" s="42"/>
      <c r="AHS5" s="42"/>
      <c r="AHT5" s="42"/>
      <c r="AHU5" s="42"/>
      <c r="AHV5" s="42"/>
      <c r="AHW5" s="42"/>
      <c r="AHX5" s="42"/>
      <c r="AHY5" s="42"/>
      <c r="AHZ5" s="42"/>
      <c r="AIA5" s="42"/>
      <c r="AIB5" s="42"/>
      <c r="AIC5" s="42"/>
      <c r="AID5" s="42"/>
      <c r="AIE5" s="42"/>
      <c r="AIF5" s="42"/>
      <c r="AIG5" s="42"/>
      <c r="AIH5" s="42"/>
      <c r="AII5" s="42"/>
      <c r="AIJ5" s="42"/>
      <c r="AIK5" s="42"/>
      <c r="AIL5" s="42"/>
      <c r="AIM5" s="42"/>
      <c r="AIN5" s="42"/>
      <c r="AIO5" s="42"/>
      <c r="AIP5" s="42"/>
      <c r="AIQ5" s="42"/>
      <c r="AIR5" s="42"/>
      <c r="AIS5" s="42"/>
      <c r="AIT5" s="42"/>
      <c r="AIU5" s="42"/>
      <c r="AIV5" s="42"/>
      <c r="AIW5" s="42"/>
      <c r="AIX5" s="42"/>
      <c r="AIY5" s="42"/>
      <c r="AIZ5" s="42"/>
      <c r="AJA5" s="42"/>
      <c r="AJB5" s="42"/>
      <c r="AJC5" s="42"/>
      <c r="AJD5" s="42"/>
      <c r="AJE5" s="42"/>
      <c r="AJF5" s="42"/>
      <c r="AJG5" s="42"/>
      <c r="AJH5" s="42"/>
      <c r="AJI5" s="42"/>
      <c r="AJJ5" s="42"/>
      <c r="AJK5" s="42"/>
      <c r="AJL5" s="42"/>
      <c r="AJM5" s="42"/>
      <c r="AJN5" s="42"/>
      <c r="AJO5" s="42"/>
      <c r="AJP5" s="42"/>
      <c r="AJQ5" s="42"/>
      <c r="AJR5" s="42"/>
      <c r="AJS5" s="42"/>
      <c r="AJT5" s="42"/>
      <c r="AJU5" s="42"/>
      <c r="AJV5" s="42"/>
      <c r="AJW5" s="42"/>
      <c r="AJX5" s="42"/>
      <c r="AJY5" s="42"/>
      <c r="AJZ5" s="42"/>
      <c r="AKA5" s="42"/>
      <c r="AKB5" s="42"/>
      <c r="AKC5" s="42"/>
      <c r="AKD5" s="42"/>
      <c r="AKE5" s="42"/>
      <c r="AKF5" s="42"/>
      <c r="AKG5" s="42"/>
      <c r="AKH5" s="42"/>
      <c r="AKI5" s="42"/>
      <c r="AKJ5" s="42"/>
      <c r="AKK5" s="42"/>
      <c r="AKL5" s="42"/>
      <c r="AKM5" s="42"/>
      <c r="AKN5" s="42"/>
      <c r="AKO5" s="42"/>
      <c r="AKP5" s="42"/>
      <c r="AKQ5" s="42"/>
      <c r="AKR5" s="42"/>
      <c r="AKS5" s="42"/>
      <c r="AKT5" s="42"/>
      <c r="AKU5" s="42"/>
      <c r="AKV5" s="42"/>
      <c r="AKW5" s="42"/>
      <c r="AKX5" s="42"/>
      <c r="AKY5" s="42"/>
      <c r="AKZ5" s="42"/>
      <c r="ALA5" s="42"/>
      <c r="ALB5" s="42"/>
      <c r="ALC5" s="42"/>
      <c r="ALD5" s="42"/>
      <c r="ALE5" s="42"/>
      <c r="ALF5" s="42"/>
      <c r="ALG5" s="42"/>
      <c r="ALH5" s="42"/>
      <c r="ALI5" s="42"/>
      <c r="ALJ5" s="42"/>
      <c r="ALK5" s="42"/>
      <c r="ALL5" s="42"/>
      <c r="ALM5" s="42"/>
      <c r="ALN5" s="42"/>
      <c r="ALO5" s="42"/>
      <c r="ALP5" s="42"/>
      <c r="ALQ5" s="42"/>
      <c r="ALR5" s="42"/>
      <c r="ALS5" s="42"/>
      <c r="ALT5" s="42"/>
      <c r="ALU5" s="42"/>
      <c r="ALV5" s="42"/>
      <c r="ALW5" s="42"/>
      <c r="ALX5" s="42"/>
      <c r="ALY5" s="42"/>
      <c r="ALZ5" s="42"/>
      <c r="AMA5" s="42"/>
      <c r="AMB5" s="42"/>
      <c r="AMC5" s="42"/>
      <c r="AMD5" s="42"/>
      <c r="AME5" s="42"/>
      <c r="AMF5" s="42"/>
      <c r="AMG5" s="42"/>
      <c r="AMH5" s="42"/>
      <c r="AMI5" s="42"/>
      <c r="AMJ5" s="42"/>
      <c r="AMK5" s="42"/>
      <c r="AML5" s="42"/>
      <c r="AMM5" s="42"/>
      <c r="AMN5" s="42"/>
      <c r="AMO5" s="42"/>
      <c r="AMP5" s="42"/>
      <c r="AMQ5" s="42"/>
      <c r="AMR5" s="42"/>
      <c r="AMS5" s="42"/>
      <c r="AMT5" s="42"/>
      <c r="AMU5" s="42"/>
      <c r="AMV5" s="42"/>
      <c r="AMW5" s="42"/>
      <c r="AMX5" s="42"/>
      <c r="AMY5" s="42"/>
      <c r="AMZ5" s="42"/>
      <c r="ANA5" s="42"/>
      <c r="ANB5" s="42"/>
      <c r="ANC5" s="42"/>
      <c r="AND5" s="42"/>
      <c r="ANE5" s="42"/>
      <c r="ANF5" s="42"/>
      <c r="ANG5" s="42"/>
      <c r="ANH5" s="42"/>
      <c r="ANI5" s="42"/>
      <c r="ANJ5" s="42"/>
      <c r="ANK5" s="42"/>
      <c r="ANL5" s="42"/>
      <c r="ANM5" s="42"/>
      <c r="ANN5" s="42"/>
      <c r="ANO5" s="42"/>
      <c r="ANP5" s="42"/>
      <c r="ANQ5" s="42"/>
      <c r="ANR5" s="42"/>
      <c r="ANS5" s="42"/>
      <c r="ANT5" s="42"/>
      <c r="ANU5" s="42"/>
      <c r="ANV5" s="42"/>
      <c r="ANW5" s="42"/>
      <c r="ANX5" s="42"/>
      <c r="ANY5" s="42"/>
      <c r="ANZ5" s="42"/>
      <c r="AOA5" s="42"/>
      <c r="AOB5" s="42"/>
      <c r="AOC5" s="42"/>
      <c r="AOD5" s="42"/>
      <c r="AOE5" s="42"/>
      <c r="AOF5" s="42"/>
      <c r="AOG5" s="42"/>
      <c r="AOH5" s="42"/>
      <c r="AOI5" s="42"/>
      <c r="AOJ5" s="42"/>
      <c r="AOK5" s="42"/>
      <c r="AOL5" s="42"/>
      <c r="AOM5" s="42"/>
      <c r="AON5" s="42"/>
      <c r="AOO5" s="42"/>
      <c r="AOP5" s="42"/>
      <c r="AOQ5" s="42"/>
      <c r="AOR5" s="42"/>
      <c r="AOS5" s="42"/>
      <c r="AOT5" s="42"/>
      <c r="AOU5" s="42"/>
      <c r="AOV5" s="42"/>
      <c r="AOW5" s="42"/>
      <c r="AOX5" s="42"/>
      <c r="AOY5" s="42"/>
      <c r="AOZ5" s="42"/>
      <c r="APA5" s="42"/>
      <c r="APB5" s="42"/>
      <c r="APC5" s="42"/>
      <c r="APD5" s="42"/>
      <c r="APE5" s="42"/>
      <c r="APF5" s="42"/>
      <c r="APG5" s="42"/>
      <c r="APH5" s="42"/>
      <c r="API5" s="42"/>
      <c r="APJ5" s="42"/>
      <c r="APK5" s="42"/>
      <c r="APL5" s="42"/>
      <c r="APM5" s="42"/>
      <c r="APN5" s="42"/>
      <c r="APO5" s="42"/>
      <c r="APP5" s="42"/>
      <c r="APQ5" s="42"/>
      <c r="APR5" s="42"/>
      <c r="APS5" s="42"/>
      <c r="APT5" s="42"/>
      <c r="APU5" s="42"/>
      <c r="APV5" s="42"/>
      <c r="APW5" s="42"/>
      <c r="APX5" s="42"/>
      <c r="APY5" s="42"/>
      <c r="APZ5" s="42"/>
      <c r="AQA5" s="42"/>
      <c r="AQB5" s="42"/>
      <c r="AQC5" s="42"/>
      <c r="AQD5" s="42"/>
      <c r="AQE5" s="42"/>
      <c r="AQF5" s="42"/>
      <c r="AQG5" s="42"/>
      <c r="AQH5" s="42"/>
      <c r="AQI5" s="42"/>
      <c r="AQJ5" s="42"/>
      <c r="AQK5" s="42"/>
      <c r="AQL5" s="42"/>
      <c r="AQM5" s="42"/>
      <c r="AQN5" s="42"/>
      <c r="AQO5" s="42"/>
      <c r="AQP5" s="42"/>
      <c r="AQQ5" s="42"/>
      <c r="AQR5" s="42"/>
      <c r="AQS5" s="42"/>
      <c r="AQT5" s="42"/>
      <c r="AQU5" s="42"/>
      <c r="AQV5" s="42"/>
      <c r="AQW5" s="42"/>
      <c r="AQX5" s="42"/>
      <c r="AQY5" s="42"/>
      <c r="AQZ5" s="42"/>
      <c r="ARA5" s="42"/>
      <c r="ARB5" s="42"/>
      <c r="ARC5" s="42"/>
      <c r="ARD5" s="42"/>
      <c r="ARE5" s="42"/>
      <c r="ARF5" s="42"/>
      <c r="ARG5" s="42"/>
      <c r="ARH5" s="42"/>
      <c r="ARI5" s="42"/>
      <c r="ARJ5" s="42"/>
      <c r="ARK5" s="42"/>
      <c r="ARL5" s="42"/>
      <c r="ARM5" s="42"/>
      <c r="ARN5" s="42"/>
      <c r="ARO5" s="42"/>
      <c r="ARP5" s="42"/>
      <c r="ARQ5" s="42"/>
      <c r="ARR5" s="42"/>
      <c r="ARS5" s="42"/>
      <c r="ART5" s="42"/>
      <c r="ARU5" s="42"/>
      <c r="ARV5" s="42"/>
      <c r="ARW5" s="42"/>
      <c r="ARX5" s="42"/>
      <c r="ARY5" s="42"/>
      <c r="ARZ5" s="42"/>
      <c r="ASA5" s="42"/>
      <c r="ASB5" s="42"/>
      <c r="ASC5" s="42"/>
      <c r="ASD5" s="42"/>
      <c r="ASE5" s="42"/>
      <c r="ASF5" s="42"/>
      <c r="ASG5" s="42"/>
      <c r="ASH5" s="42"/>
      <c r="ASI5" s="42"/>
      <c r="ASJ5" s="42"/>
      <c r="ASK5" s="42"/>
      <c r="ASL5" s="42"/>
      <c r="ASM5" s="42"/>
      <c r="ASN5" s="42"/>
      <c r="ASO5" s="42"/>
      <c r="ASP5" s="42"/>
      <c r="ASQ5" s="42"/>
      <c r="ASR5" s="42"/>
      <c r="ASS5" s="42"/>
      <c r="AST5" s="42"/>
      <c r="ASU5" s="42"/>
      <c r="ASV5" s="42"/>
      <c r="ASW5" s="42"/>
      <c r="ASX5" s="42"/>
      <c r="ASY5" s="42"/>
      <c r="ASZ5" s="42"/>
      <c r="ATA5" s="42"/>
      <c r="ATB5" s="42"/>
      <c r="ATC5" s="42"/>
      <c r="ATD5" s="42"/>
      <c r="ATE5" s="42"/>
      <c r="ATF5" s="42"/>
      <c r="ATG5" s="42"/>
      <c r="ATH5" s="42"/>
      <c r="ATI5" s="42"/>
      <c r="ATJ5" s="42"/>
      <c r="ATK5" s="42"/>
      <c r="ATL5" s="42"/>
      <c r="ATM5" s="42"/>
      <c r="ATN5" s="42"/>
      <c r="ATO5" s="42"/>
      <c r="ATP5" s="42"/>
      <c r="ATQ5" s="42"/>
      <c r="ATR5" s="42"/>
      <c r="ATS5" s="42"/>
      <c r="ATT5" s="42"/>
      <c r="ATU5" s="42"/>
      <c r="ATV5" s="42"/>
      <c r="ATW5" s="42"/>
      <c r="ATX5" s="42"/>
      <c r="ATY5" s="42"/>
      <c r="ATZ5" s="42"/>
      <c r="AUA5" s="42"/>
      <c r="AUB5" s="42"/>
      <c r="AUC5" s="42"/>
      <c r="AUD5" s="42"/>
      <c r="AUE5" s="42"/>
      <c r="AUF5" s="42"/>
      <c r="AUG5" s="42"/>
      <c r="AUH5" s="42"/>
      <c r="AUI5" s="42"/>
      <c r="AUJ5" s="42"/>
      <c r="AUK5" s="42"/>
      <c r="AUL5" s="42"/>
      <c r="AUM5" s="42"/>
      <c r="AUN5" s="42"/>
      <c r="AUO5" s="42"/>
      <c r="AUP5" s="42"/>
      <c r="AUQ5" s="42"/>
      <c r="AUR5" s="42"/>
      <c r="AUS5" s="42"/>
      <c r="AUT5" s="42"/>
      <c r="AUU5" s="42"/>
      <c r="AUV5" s="42"/>
      <c r="AUW5" s="42"/>
      <c r="AUX5" s="42"/>
      <c r="AUY5" s="42"/>
      <c r="AUZ5" s="42"/>
      <c r="AVA5" s="42"/>
      <c r="AVB5" s="42"/>
      <c r="AVC5" s="42"/>
      <c r="AVD5" s="42"/>
      <c r="AVE5" s="42"/>
      <c r="AVF5" s="42"/>
      <c r="AVG5" s="42"/>
      <c r="AVH5" s="42"/>
      <c r="AVI5" s="42"/>
      <c r="AVJ5" s="42"/>
      <c r="AVK5" s="42"/>
      <c r="AVL5" s="42"/>
      <c r="AVM5" s="42"/>
      <c r="AVN5" s="42"/>
      <c r="AVO5" s="42"/>
      <c r="AVP5" s="42"/>
      <c r="AVQ5" s="42"/>
      <c r="AVR5" s="42"/>
      <c r="AVS5" s="42"/>
      <c r="AVT5" s="42"/>
      <c r="AVU5" s="42"/>
      <c r="AVV5" s="42"/>
      <c r="AVW5" s="42"/>
      <c r="AVX5" s="42"/>
      <c r="AVY5" s="42"/>
      <c r="AVZ5" s="42"/>
      <c r="AWA5" s="42"/>
      <c r="AWB5" s="42"/>
      <c r="AWC5" s="42"/>
      <c r="AWD5" s="42"/>
      <c r="AWE5" s="42"/>
      <c r="AWF5" s="42"/>
      <c r="AWG5" s="42"/>
      <c r="AWH5" s="42"/>
      <c r="AWI5" s="42"/>
      <c r="AWJ5" s="42"/>
      <c r="AWK5" s="42"/>
      <c r="AWL5" s="42"/>
      <c r="AWM5" s="42"/>
      <c r="AWN5" s="42"/>
      <c r="AWO5" s="42"/>
      <c r="AWP5" s="42"/>
      <c r="AWQ5" s="42"/>
      <c r="AWR5" s="42"/>
      <c r="AWS5" s="42"/>
      <c r="AWT5" s="42"/>
      <c r="AWU5" s="42"/>
      <c r="AWV5" s="42"/>
      <c r="AWW5" s="42"/>
      <c r="AWX5" s="42"/>
      <c r="AWY5" s="42"/>
      <c r="AWZ5" s="42"/>
      <c r="AXA5" s="42"/>
      <c r="AXB5" s="42"/>
      <c r="AXC5" s="42"/>
      <c r="AXD5" s="42"/>
      <c r="AXE5" s="42"/>
      <c r="AXF5" s="42"/>
      <c r="AXG5" s="42"/>
      <c r="AXH5" s="42"/>
      <c r="AXI5" s="42"/>
      <c r="AXJ5" s="42"/>
      <c r="AXK5" s="42"/>
      <c r="AXL5" s="42"/>
      <c r="AXM5" s="42"/>
      <c r="AXN5" s="42"/>
      <c r="AXO5" s="42"/>
      <c r="AXP5" s="42"/>
      <c r="AXQ5" s="42"/>
      <c r="AXR5" s="42"/>
      <c r="AXS5" s="42"/>
      <c r="AXT5" s="42"/>
      <c r="AXU5" s="42"/>
      <c r="AXV5" s="42"/>
      <c r="AXW5" s="42"/>
      <c r="AXX5" s="42"/>
      <c r="AXY5" s="42"/>
      <c r="AXZ5" s="42"/>
      <c r="AYA5" s="42"/>
      <c r="AYB5" s="42"/>
      <c r="AYC5" s="42"/>
      <c r="AYD5" s="42"/>
      <c r="AYE5" s="42"/>
      <c r="AYF5" s="42"/>
      <c r="AYG5" s="42"/>
      <c r="AYH5" s="42"/>
      <c r="AYI5" s="42"/>
      <c r="AYJ5" s="42"/>
      <c r="AYK5" s="42"/>
      <c r="AYL5" s="42"/>
      <c r="AYM5" s="42"/>
      <c r="AYN5" s="42"/>
      <c r="AYO5" s="42"/>
      <c r="AYP5" s="42"/>
      <c r="AYQ5" s="42"/>
      <c r="AYR5" s="42"/>
      <c r="AYS5" s="42"/>
      <c r="AYT5" s="42"/>
      <c r="AYU5" s="42"/>
      <c r="AYV5" s="42"/>
      <c r="AYW5" s="42"/>
      <c r="AYX5" s="42"/>
      <c r="AYY5" s="42"/>
      <c r="AYZ5" s="42"/>
      <c r="AZA5" s="42"/>
      <c r="AZB5" s="42"/>
      <c r="AZC5" s="42"/>
      <c r="AZD5" s="42"/>
      <c r="AZE5" s="42"/>
      <c r="AZF5" s="42"/>
      <c r="AZG5" s="42"/>
      <c r="AZH5" s="42"/>
      <c r="AZI5" s="42"/>
      <c r="AZJ5" s="42"/>
      <c r="AZK5" s="42"/>
      <c r="AZL5" s="42"/>
      <c r="AZM5" s="42"/>
      <c r="AZN5" s="42"/>
      <c r="AZO5" s="42"/>
      <c r="AZP5" s="42"/>
      <c r="AZQ5" s="42"/>
      <c r="AZR5" s="42"/>
      <c r="AZS5" s="42"/>
      <c r="AZT5" s="42"/>
      <c r="AZU5" s="42"/>
      <c r="AZV5" s="42"/>
      <c r="AZW5" s="42"/>
      <c r="AZX5" s="42"/>
      <c r="AZY5" s="42"/>
      <c r="AZZ5" s="42"/>
      <c r="BAA5" s="42"/>
      <c r="BAB5" s="42"/>
      <c r="BAC5" s="42"/>
      <c r="BAD5" s="42"/>
      <c r="BAE5" s="42"/>
      <c r="BAF5" s="42"/>
      <c r="BAG5" s="42"/>
      <c r="BAH5" s="42"/>
      <c r="BAI5" s="42"/>
      <c r="BAJ5" s="42"/>
      <c r="BAK5" s="42"/>
      <c r="BAL5" s="42"/>
      <c r="BAM5" s="42"/>
      <c r="BAN5" s="42"/>
      <c r="BAO5" s="42"/>
      <c r="BAP5" s="42"/>
      <c r="BAQ5" s="42"/>
      <c r="BAR5" s="42"/>
      <c r="BAS5" s="42"/>
      <c r="BAT5" s="42"/>
      <c r="BAU5" s="42"/>
      <c r="BAV5" s="42"/>
      <c r="BAW5" s="42"/>
      <c r="BAX5" s="42"/>
      <c r="BAY5" s="42"/>
      <c r="BAZ5" s="42"/>
      <c r="BBA5" s="42"/>
      <c r="BBB5" s="42"/>
      <c r="BBC5" s="42"/>
      <c r="BBD5" s="42"/>
      <c r="BBE5" s="42"/>
      <c r="BBF5" s="42"/>
      <c r="BBG5" s="42"/>
      <c r="BBH5" s="42"/>
      <c r="BBI5" s="42"/>
      <c r="BBJ5" s="42"/>
      <c r="BBK5" s="42"/>
      <c r="BBL5" s="42"/>
      <c r="BBM5" s="42"/>
      <c r="BBN5" s="42"/>
      <c r="BBO5" s="42"/>
      <c r="BBP5" s="42"/>
      <c r="BBQ5" s="42"/>
      <c r="BBR5" s="42"/>
    </row>
    <row r="6" spans="1:1422" ht="7.2" customHeight="1" x14ac:dyDescent="0.3">
      <c r="A6" s="76"/>
      <c r="B6" s="72"/>
      <c r="L6" s="4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42"/>
      <c r="GT6" s="42"/>
      <c r="GU6" s="42"/>
      <c r="GV6" s="42"/>
      <c r="GW6" s="42"/>
      <c r="GX6" s="42"/>
      <c r="GY6" s="42"/>
      <c r="GZ6" s="42"/>
      <c r="HA6" s="42"/>
      <c r="HB6" s="42"/>
      <c r="HC6" s="42"/>
      <c r="HD6" s="42"/>
      <c r="HE6" s="42"/>
      <c r="HF6" s="42"/>
      <c r="HG6" s="42"/>
      <c r="HH6" s="42"/>
      <c r="HI6" s="42"/>
      <c r="HJ6" s="42"/>
      <c r="HK6" s="42"/>
      <c r="HL6" s="42"/>
      <c r="HM6" s="42"/>
      <c r="HN6" s="42"/>
      <c r="HO6" s="42"/>
      <c r="HP6" s="42"/>
      <c r="HQ6" s="42"/>
      <c r="HR6" s="42"/>
      <c r="HS6" s="42"/>
      <c r="HT6" s="42"/>
      <c r="HU6" s="42"/>
      <c r="HV6" s="42"/>
      <c r="HW6" s="42"/>
      <c r="HX6" s="42"/>
      <c r="HY6" s="42"/>
      <c r="HZ6" s="42"/>
      <c r="IA6" s="42"/>
      <c r="IB6" s="42"/>
      <c r="IC6" s="42"/>
      <c r="ID6" s="42"/>
      <c r="IE6" s="42"/>
      <c r="IF6" s="42"/>
      <c r="IG6" s="42"/>
      <c r="IH6" s="42"/>
      <c r="II6" s="42"/>
      <c r="IJ6" s="42"/>
      <c r="IK6" s="42"/>
      <c r="IL6" s="42"/>
      <c r="IM6" s="42"/>
      <c r="IN6" s="42"/>
      <c r="IO6" s="42"/>
      <c r="IP6" s="42"/>
      <c r="IQ6" s="42"/>
      <c r="IR6" s="42"/>
      <c r="IS6" s="42"/>
      <c r="IT6" s="42"/>
      <c r="IU6" s="42"/>
      <c r="IV6" s="42"/>
      <c r="IW6" s="42"/>
      <c r="IX6" s="42"/>
      <c r="IY6" s="42"/>
      <c r="IZ6" s="42"/>
      <c r="JA6" s="42"/>
      <c r="JB6" s="42"/>
      <c r="JC6" s="42"/>
      <c r="JD6" s="42"/>
      <c r="JE6" s="42"/>
      <c r="JF6" s="42"/>
      <c r="JG6" s="42"/>
      <c r="JH6" s="42"/>
      <c r="JI6" s="42"/>
      <c r="JJ6" s="42"/>
      <c r="JK6" s="42"/>
      <c r="JL6" s="42"/>
      <c r="JM6" s="42"/>
      <c r="JN6" s="42"/>
      <c r="JO6" s="42"/>
      <c r="JP6" s="42"/>
      <c r="JQ6" s="42"/>
      <c r="JR6" s="42"/>
      <c r="JS6" s="42"/>
      <c r="JT6" s="42"/>
      <c r="JU6" s="42"/>
      <c r="JV6" s="42"/>
      <c r="JW6" s="42"/>
      <c r="JX6" s="42"/>
      <c r="JY6" s="42"/>
      <c r="JZ6" s="42"/>
      <c r="KA6" s="42"/>
      <c r="KB6" s="42"/>
      <c r="KC6" s="42"/>
      <c r="KD6" s="42"/>
      <c r="KE6" s="42"/>
      <c r="KF6" s="42"/>
      <c r="KG6" s="42"/>
      <c r="KH6" s="42"/>
      <c r="KI6" s="42"/>
      <c r="KJ6" s="42"/>
      <c r="KK6" s="42"/>
      <c r="KL6" s="42"/>
      <c r="KM6" s="42"/>
      <c r="KN6" s="42"/>
      <c r="KO6" s="42"/>
      <c r="KP6" s="42"/>
      <c r="KQ6" s="42"/>
      <c r="KR6" s="42"/>
      <c r="KS6" s="42"/>
      <c r="KT6" s="42"/>
      <c r="KU6" s="42"/>
      <c r="KV6" s="42"/>
      <c r="KW6" s="42"/>
      <c r="KX6" s="42"/>
      <c r="KY6" s="42"/>
      <c r="KZ6" s="42"/>
      <c r="LA6" s="42"/>
      <c r="LB6" s="42"/>
      <c r="LC6" s="42"/>
      <c r="LD6" s="42"/>
      <c r="LE6" s="42"/>
      <c r="LF6" s="42"/>
      <c r="LG6" s="42"/>
      <c r="LH6" s="42"/>
      <c r="LI6" s="42"/>
      <c r="LJ6" s="42"/>
      <c r="LK6" s="42"/>
      <c r="LL6" s="42"/>
      <c r="LM6" s="42"/>
      <c r="LN6" s="42"/>
      <c r="LO6" s="42"/>
      <c r="LP6" s="42"/>
      <c r="LQ6" s="42"/>
      <c r="LR6" s="42"/>
      <c r="LS6" s="42"/>
      <c r="LT6" s="42"/>
      <c r="LU6" s="42"/>
      <c r="LV6" s="42"/>
      <c r="LW6" s="42"/>
      <c r="LX6" s="42"/>
      <c r="LY6" s="42"/>
      <c r="LZ6" s="42"/>
      <c r="MA6" s="42"/>
      <c r="MB6" s="42"/>
      <c r="MC6" s="42"/>
      <c r="MD6" s="42"/>
      <c r="ME6" s="42"/>
      <c r="MF6" s="42"/>
      <c r="MG6" s="42"/>
      <c r="MH6" s="42"/>
      <c r="MI6" s="42"/>
      <c r="MJ6" s="42"/>
      <c r="MK6" s="42"/>
      <c r="ML6" s="42"/>
      <c r="MM6" s="42"/>
      <c r="MN6" s="42"/>
      <c r="MO6" s="42"/>
      <c r="MP6" s="42"/>
      <c r="MQ6" s="42"/>
      <c r="MR6" s="42"/>
      <c r="MS6" s="42"/>
      <c r="MT6" s="42"/>
      <c r="MU6" s="42"/>
      <c r="MV6" s="42"/>
      <c r="MW6" s="42"/>
      <c r="MX6" s="42"/>
      <c r="MY6" s="42"/>
      <c r="MZ6" s="42"/>
      <c r="NA6" s="42"/>
      <c r="NB6" s="42"/>
      <c r="NC6" s="42"/>
      <c r="ND6" s="42"/>
      <c r="NE6" s="42"/>
      <c r="NF6" s="42"/>
      <c r="NG6" s="42"/>
      <c r="NH6" s="42"/>
      <c r="NI6" s="42"/>
      <c r="NJ6" s="42"/>
      <c r="NK6" s="42"/>
      <c r="NL6" s="42"/>
      <c r="NM6" s="42"/>
      <c r="NN6" s="42"/>
      <c r="NO6" s="42"/>
      <c r="NP6" s="42"/>
      <c r="NQ6" s="42"/>
      <c r="NR6" s="42"/>
      <c r="NS6" s="42"/>
      <c r="NT6" s="42"/>
      <c r="NU6" s="42"/>
      <c r="NV6" s="42"/>
      <c r="NW6" s="42"/>
      <c r="NX6" s="42"/>
      <c r="NY6" s="42"/>
      <c r="NZ6" s="42"/>
      <c r="OA6" s="42"/>
      <c r="OB6" s="42"/>
      <c r="OC6" s="42"/>
      <c r="OD6" s="42"/>
      <c r="OE6" s="42"/>
      <c r="OF6" s="42"/>
      <c r="OG6" s="42"/>
      <c r="OH6" s="42"/>
      <c r="OI6" s="42"/>
      <c r="OJ6" s="42"/>
      <c r="OK6" s="42"/>
      <c r="OL6" s="42"/>
      <c r="OM6" s="42"/>
      <c r="ON6" s="42"/>
      <c r="OO6" s="42"/>
      <c r="OP6" s="42"/>
      <c r="OQ6" s="42"/>
      <c r="OR6" s="42"/>
      <c r="OS6" s="42"/>
      <c r="OT6" s="42"/>
      <c r="OU6" s="42"/>
      <c r="OV6" s="42"/>
      <c r="OW6" s="42"/>
      <c r="OX6" s="42"/>
      <c r="OY6" s="42"/>
      <c r="OZ6" s="42"/>
      <c r="PA6" s="42"/>
      <c r="PB6" s="42"/>
      <c r="PC6" s="42"/>
      <c r="PD6" s="42"/>
      <c r="PE6" s="42"/>
      <c r="PF6" s="42"/>
      <c r="PG6" s="42"/>
      <c r="PH6" s="42"/>
      <c r="PI6" s="42"/>
      <c r="PJ6" s="42"/>
      <c r="PK6" s="42"/>
      <c r="PL6" s="42"/>
      <c r="PM6" s="42"/>
      <c r="PN6" s="42"/>
      <c r="PO6" s="42"/>
      <c r="PP6" s="42"/>
      <c r="PQ6" s="42"/>
      <c r="PR6" s="42"/>
      <c r="PS6" s="42"/>
      <c r="PT6" s="42"/>
      <c r="PU6" s="42"/>
      <c r="PV6" s="42"/>
      <c r="PW6" s="42"/>
      <c r="PX6" s="42"/>
      <c r="PY6" s="42"/>
      <c r="PZ6" s="42"/>
      <c r="QA6" s="42"/>
      <c r="QB6" s="42"/>
      <c r="QC6" s="42"/>
      <c r="QD6" s="42"/>
      <c r="QE6" s="42"/>
      <c r="QF6" s="42"/>
      <c r="QG6" s="42"/>
      <c r="QH6" s="42"/>
      <c r="QI6" s="42"/>
      <c r="QJ6" s="42"/>
      <c r="QK6" s="42"/>
      <c r="QL6" s="42"/>
      <c r="QM6" s="42"/>
      <c r="QN6" s="42"/>
      <c r="QO6" s="42"/>
      <c r="QP6" s="42"/>
      <c r="QQ6" s="42"/>
      <c r="QR6" s="42"/>
      <c r="QS6" s="42"/>
      <c r="QT6" s="42"/>
      <c r="QU6" s="42"/>
      <c r="QV6" s="42"/>
      <c r="QW6" s="42"/>
      <c r="QX6" s="42"/>
      <c r="QY6" s="42"/>
      <c r="QZ6" s="42"/>
      <c r="RA6" s="42"/>
      <c r="RB6" s="42"/>
      <c r="RC6" s="42"/>
      <c r="RD6" s="42"/>
      <c r="RE6" s="42"/>
      <c r="RF6" s="42"/>
      <c r="RG6" s="42"/>
      <c r="RH6" s="42"/>
      <c r="RI6" s="42"/>
      <c r="RJ6" s="42"/>
      <c r="RK6" s="42"/>
      <c r="RL6" s="42"/>
      <c r="RM6" s="42"/>
      <c r="RN6" s="42"/>
      <c r="RO6" s="42"/>
      <c r="RP6" s="42"/>
      <c r="RQ6" s="42"/>
      <c r="RR6" s="42"/>
      <c r="RS6" s="42"/>
      <c r="RT6" s="42"/>
      <c r="RU6" s="42"/>
      <c r="RV6" s="42"/>
      <c r="RW6" s="42"/>
      <c r="RX6" s="42"/>
      <c r="RY6" s="42"/>
      <c r="RZ6" s="42"/>
      <c r="SA6" s="42"/>
      <c r="SB6" s="42"/>
      <c r="SC6" s="42"/>
      <c r="SD6" s="42"/>
      <c r="SE6" s="42"/>
      <c r="SF6" s="42"/>
      <c r="SG6" s="42"/>
      <c r="SH6" s="42"/>
      <c r="SI6" s="42"/>
      <c r="SJ6" s="42"/>
      <c r="SK6" s="42"/>
      <c r="SL6" s="42"/>
      <c r="SM6" s="42"/>
      <c r="SN6" s="42"/>
      <c r="SO6" s="42"/>
      <c r="SP6" s="42"/>
      <c r="SQ6" s="42"/>
      <c r="SR6" s="42"/>
      <c r="SS6" s="42"/>
      <c r="ST6" s="42"/>
      <c r="SU6" s="42"/>
      <c r="SV6" s="42"/>
      <c r="SW6" s="42"/>
      <c r="SX6" s="42"/>
      <c r="SY6" s="42"/>
      <c r="SZ6" s="42"/>
      <c r="TA6" s="42"/>
      <c r="TB6" s="42"/>
      <c r="TC6" s="42"/>
      <c r="TD6" s="42"/>
      <c r="TE6" s="42"/>
      <c r="TF6" s="42"/>
      <c r="TG6" s="42"/>
      <c r="TH6" s="42"/>
      <c r="TI6" s="42"/>
      <c r="TJ6" s="42"/>
      <c r="TK6" s="42"/>
      <c r="TL6" s="42"/>
      <c r="TM6" s="42"/>
      <c r="TN6" s="42"/>
      <c r="TO6" s="42"/>
      <c r="TP6" s="42"/>
      <c r="TQ6" s="42"/>
      <c r="TR6" s="42"/>
      <c r="TS6" s="42"/>
      <c r="TT6" s="42"/>
      <c r="TU6" s="42"/>
      <c r="TV6" s="42"/>
      <c r="TW6" s="42"/>
      <c r="TX6" s="42"/>
      <c r="TY6" s="42"/>
      <c r="TZ6" s="42"/>
      <c r="UA6" s="42"/>
      <c r="UB6" s="42"/>
      <c r="UC6" s="42"/>
      <c r="UD6" s="42"/>
      <c r="UE6" s="42"/>
      <c r="UF6" s="42"/>
      <c r="UG6" s="42"/>
      <c r="UH6" s="42"/>
      <c r="UI6" s="42"/>
      <c r="UJ6" s="42"/>
      <c r="UK6" s="42"/>
      <c r="UL6" s="42"/>
      <c r="UM6" s="42"/>
      <c r="UN6" s="42"/>
      <c r="UO6" s="42"/>
      <c r="UP6" s="42"/>
      <c r="UQ6" s="42"/>
      <c r="UR6" s="42"/>
      <c r="US6" s="42"/>
      <c r="UT6" s="42"/>
      <c r="UU6" s="42"/>
      <c r="UV6" s="42"/>
      <c r="UW6" s="42"/>
      <c r="UX6" s="42"/>
      <c r="UY6" s="42"/>
      <c r="UZ6" s="42"/>
      <c r="VA6" s="42"/>
      <c r="VB6" s="42"/>
      <c r="VC6" s="42"/>
      <c r="VD6" s="42"/>
      <c r="VE6" s="42"/>
      <c r="VF6" s="42"/>
      <c r="VG6" s="42"/>
      <c r="VH6" s="42"/>
      <c r="VI6" s="42"/>
      <c r="VJ6" s="42"/>
      <c r="VK6" s="42"/>
      <c r="VL6" s="42"/>
      <c r="VM6" s="42"/>
      <c r="VN6" s="42"/>
      <c r="VO6" s="42"/>
      <c r="VP6" s="42"/>
      <c r="VQ6" s="42"/>
      <c r="VR6" s="42"/>
      <c r="VS6" s="42"/>
      <c r="VT6" s="42"/>
      <c r="VU6" s="42"/>
      <c r="VV6" s="42"/>
      <c r="VW6" s="42"/>
      <c r="VX6" s="42"/>
      <c r="VY6" s="42"/>
      <c r="VZ6" s="42"/>
      <c r="WA6" s="42"/>
      <c r="WB6" s="42"/>
      <c r="WC6" s="42"/>
      <c r="WD6" s="42"/>
      <c r="WE6" s="42"/>
      <c r="WF6" s="42"/>
      <c r="WG6" s="42"/>
      <c r="WH6" s="42"/>
      <c r="WI6" s="42"/>
      <c r="WJ6" s="42"/>
      <c r="WK6" s="42"/>
      <c r="WL6" s="42"/>
      <c r="WM6" s="42"/>
      <c r="WN6" s="42"/>
      <c r="WO6" s="42"/>
      <c r="WP6" s="42"/>
      <c r="WQ6" s="42"/>
      <c r="WR6" s="42"/>
      <c r="WS6" s="42"/>
      <c r="WT6" s="42"/>
      <c r="WU6" s="42"/>
      <c r="WV6" s="42"/>
      <c r="WW6" s="42"/>
      <c r="WX6" s="42"/>
      <c r="WY6" s="42"/>
      <c r="WZ6" s="42"/>
      <c r="XA6" s="42"/>
      <c r="XB6" s="42"/>
      <c r="XC6" s="42"/>
      <c r="XD6" s="42"/>
      <c r="XE6" s="42"/>
      <c r="XF6" s="42"/>
      <c r="XG6" s="42"/>
      <c r="XH6" s="42"/>
      <c r="XI6" s="42"/>
      <c r="XJ6" s="42"/>
      <c r="XK6" s="42"/>
      <c r="XL6" s="42"/>
      <c r="XM6" s="42"/>
      <c r="XN6" s="42"/>
      <c r="XO6" s="42"/>
      <c r="XP6" s="42"/>
      <c r="XQ6" s="42"/>
      <c r="XR6" s="42"/>
      <c r="XS6" s="42"/>
      <c r="XT6" s="42"/>
      <c r="XU6" s="42"/>
      <c r="XV6" s="42"/>
      <c r="XW6" s="42"/>
      <c r="XX6" s="42"/>
      <c r="XY6" s="42"/>
      <c r="XZ6" s="42"/>
      <c r="YA6" s="42"/>
      <c r="YB6" s="42"/>
      <c r="YC6" s="42"/>
      <c r="YD6" s="42"/>
      <c r="YE6" s="42"/>
      <c r="YF6" s="42"/>
      <c r="YG6" s="42"/>
      <c r="YH6" s="42"/>
      <c r="YI6" s="42"/>
      <c r="YJ6" s="42"/>
      <c r="YK6" s="42"/>
      <c r="YL6" s="42"/>
      <c r="YM6" s="42"/>
      <c r="YN6" s="42"/>
      <c r="YO6" s="42"/>
      <c r="YP6" s="42"/>
      <c r="YQ6" s="42"/>
      <c r="YR6" s="42"/>
      <c r="YS6" s="42"/>
      <c r="YT6" s="42"/>
      <c r="YU6" s="42"/>
      <c r="YV6" s="42"/>
      <c r="YW6" s="42"/>
      <c r="YX6" s="42"/>
      <c r="YY6" s="42"/>
      <c r="YZ6" s="42"/>
      <c r="ZA6" s="42"/>
      <c r="ZB6" s="42"/>
      <c r="ZC6" s="42"/>
      <c r="ZD6" s="42"/>
      <c r="ZE6" s="42"/>
      <c r="ZF6" s="42"/>
      <c r="ZG6" s="42"/>
      <c r="ZH6" s="42"/>
      <c r="ZI6" s="42"/>
      <c r="ZJ6" s="42"/>
      <c r="ZK6" s="42"/>
      <c r="ZL6" s="42"/>
      <c r="ZM6" s="42"/>
      <c r="ZN6" s="42"/>
      <c r="ZO6" s="42"/>
      <c r="ZP6" s="42"/>
      <c r="ZQ6" s="42"/>
      <c r="ZR6" s="42"/>
      <c r="ZS6" s="42"/>
      <c r="ZT6" s="42"/>
      <c r="ZU6" s="42"/>
      <c r="ZV6" s="42"/>
      <c r="ZW6" s="42"/>
      <c r="ZX6" s="42"/>
      <c r="ZY6" s="42"/>
      <c r="ZZ6" s="42"/>
      <c r="AAA6" s="42"/>
      <c r="AAB6" s="42"/>
      <c r="AAC6" s="42"/>
      <c r="AAD6" s="42"/>
      <c r="AAE6" s="42"/>
      <c r="AAF6" s="42"/>
      <c r="AAG6" s="42"/>
      <c r="AAH6" s="42"/>
      <c r="AAI6" s="42"/>
      <c r="AAJ6" s="42"/>
      <c r="AAK6" s="42"/>
      <c r="AAL6" s="42"/>
      <c r="AAM6" s="42"/>
      <c r="AAN6" s="42"/>
      <c r="AAO6" s="42"/>
      <c r="AAP6" s="42"/>
      <c r="AAQ6" s="42"/>
      <c r="AAR6" s="42"/>
      <c r="AAS6" s="42"/>
      <c r="AAT6" s="42"/>
      <c r="AAU6" s="42"/>
      <c r="AAV6" s="42"/>
      <c r="AAW6" s="42"/>
      <c r="AAX6" s="42"/>
      <c r="AAY6" s="42"/>
      <c r="AAZ6" s="42"/>
      <c r="ABA6" s="42"/>
      <c r="ABB6" s="42"/>
      <c r="ABC6" s="42"/>
      <c r="ABD6" s="42"/>
      <c r="ABE6" s="42"/>
      <c r="ABF6" s="42"/>
      <c r="ABG6" s="42"/>
      <c r="ABH6" s="42"/>
      <c r="ABI6" s="42"/>
      <c r="ABJ6" s="42"/>
      <c r="ABK6" s="42"/>
      <c r="ABL6" s="42"/>
      <c r="ABM6" s="42"/>
      <c r="ABN6" s="42"/>
      <c r="ABO6" s="42"/>
      <c r="ABP6" s="42"/>
      <c r="ABQ6" s="42"/>
      <c r="ABR6" s="42"/>
      <c r="ABS6" s="42"/>
      <c r="ABT6" s="42"/>
      <c r="ABU6" s="42"/>
      <c r="ABV6" s="42"/>
      <c r="ABW6" s="42"/>
      <c r="ABX6" s="42"/>
      <c r="ABY6" s="42"/>
      <c r="ABZ6" s="42"/>
      <c r="ACA6" s="42"/>
      <c r="ACB6" s="42"/>
      <c r="ACC6" s="42"/>
      <c r="ACD6" s="42"/>
      <c r="ACE6" s="42"/>
      <c r="ACF6" s="42"/>
      <c r="ACG6" s="42"/>
      <c r="ACH6" s="42"/>
      <c r="ACI6" s="42"/>
      <c r="ACJ6" s="42"/>
      <c r="ACK6" s="42"/>
      <c r="ACL6" s="42"/>
      <c r="ACM6" s="42"/>
      <c r="ACN6" s="42"/>
      <c r="ACO6" s="42"/>
      <c r="ACP6" s="42"/>
      <c r="ACQ6" s="42"/>
      <c r="ACR6" s="42"/>
      <c r="ACS6" s="42"/>
      <c r="ACT6" s="42"/>
      <c r="ACU6" s="42"/>
      <c r="ACV6" s="42"/>
      <c r="ACW6" s="42"/>
      <c r="ACX6" s="42"/>
      <c r="ACY6" s="42"/>
      <c r="ACZ6" s="42"/>
      <c r="ADA6" s="42"/>
      <c r="ADB6" s="42"/>
      <c r="ADC6" s="42"/>
      <c r="ADD6" s="42"/>
      <c r="ADE6" s="42"/>
      <c r="ADF6" s="42"/>
      <c r="ADG6" s="42"/>
      <c r="ADH6" s="42"/>
      <c r="ADI6" s="42"/>
      <c r="ADJ6" s="42"/>
      <c r="ADK6" s="42"/>
      <c r="ADL6" s="42"/>
      <c r="ADM6" s="42"/>
      <c r="ADN6" s="42"/>
      <c r="ADO6" s="42"/>
      <c r="ADP6" s="42"/>
      <c r="ADQ6" s="42"/>
      <c r="ADR6" s="42"/>
      <c r="ADS6" s="42"/>
      <c r="ADT6" s="42"/>
      <c r="ADU6" s="42"/>
      <c r="ADV6" s="42"/>
      <c r="ADW6" s="42"/>
      <c r="ADX6" s="42"/>
      <c r="ADY6" s="42"/>
      <c r="ADZ6" s="42"/>
      <c r="AEA6" s="42"/>
      <c r="AEB6" s="42"/>
      <c r="AEC6" s="42"/>
      <c r="AED6" s="42"/>
      <c r="AEE6" s="42"/>
      <c r="AEF6" s="42"/>
      <c r="AEG6" s="42"/>
      <c r="AEH6" s="42"/>
      <c r="AEI6" s="42"/>
      <c r="AEJ6" s="42"/>
      <c r="AEK6" s="42"/>
      <c r="AEL6" s="42"/>
      <c r="AEM6" s="42"/>
      <c r="AEN6" s="42"/>
      <c r="AEO6" s="42"/>
      <c r="AEP6" s="42"/>
      <c r="AEQ6" s="42"/>
      <c r="AER6" s="42"/>
      <c r="AES6" s="42"/>
      <c r="AET6" s="42"/>
      <c r="AEU6" s="42"/>
      <c r="AEV6" s="42"/>
      <c r="AEW6" s="42"/>
      <c r="AEX6" s="42"/>
      <c r="AEY6" s="42"/>
      <c r="AEZ6" s="42"/>
      <c r="AFA6" s="42"/>
      <c r="AFB6" s="42"/>
      <c r="AFC6" s="42"/>
      <c r="AFD6" s="42"/>
      <c r="AFE6" s="42"/>
      <c r="AFF6" s="42"/>
      <c r="AFG6" s="42"/>
      <c r="AFH6" s="42"/>
      <c r="AFI6" s="42"/>
      <c r="AFJ6" s="42"/>
      <c r="AFK6" s="42"/>
      <c r="AFL6" s="42"/>
      <c r="AFM6" s="42"/>
      <c r="AFN6" s="42"/>
      <c r="AFO6" s="42"/>
      <c r="AFP6" s="42"/>
      <c r="AFQ6" s="42"/>
      <c r="AFR6" s="42"/>
      <c r="AFS6" s="42"/>
      <c r="AFT6" s="42"/>
      <c r="AFU6" s="42"/>
      <c r="AFV6" s="42"/>
      <c r="AFW6" s="42"/>
      <c r="AFX6" s="42"/>
      <c r="AFY6" s="42"/>
      <c r="AFZ6" s="42"/>
      <c r="AGA6" s="42"/>
      <c r="AGB6" s="42"/>
      <c r="AGC6" s="42"/>
      <c r="AGD6" s="42"/>
      <c r="AGE6" s="42"/>
      <c r="AGF6" s="42"/>
      <c r="AGG6" s="42"/>
      <c r="AGH6" s="42"/>
      <c r="AGI6" s="42"/>
      <c r="AGJ6" s="42"/>
      <c r="AGK6" s="42"/>
      <c r="AGL6" s="42"/>
      <c r="AGM6" s="42"/>
      <c r="AGN6" s="42"/>
      <c r="AGO6" s="42"/>
      <c r="AGP6" s="42"/>
      <c r="AGQ6" s="42"/>
      <c r="AGR6" s="42"/>
      <c r="AGS6" s="42"/>
      <c r="AGT6" s="42"/>
      <c r="AGU6" s="42"/>
      <c r="AGV6" s="42"/>
      <c r="AGW6" s="42"/>
      <c r="AGX6" s="42"/>
      <c r="AGY6" s="42"/>
      <c r="AGZ6" s="42"/>
      <c r="AHA6" s="42"/>
      <c r="AHB6" s="42"/>
      <c r="AHC6" s="42"/>
      <c r="AHD6" s="42"/>
      <c r="AHE6" s="42"/>
      <c r="AHF6" s="42"/>
      <c r="AHG6" s="42"/>
      <c r="AHH6" s="42"/>
      <c r="AHI6" s="42"/>
      <c r="AHJ6" s="42"/>
      <c r="AHK6" s="42"/>
      <c r="AHL6" s="42"/>
      <c r="AHM6" s="42"/>
      <c r="AHN6" s="42"/>
      <c r="AHO6" s="42"/>
      <c r="AHP6" s="42"/>
      <c r="AHQ6" s="42"/>
      <c r="AHR6" s="42"/>
      <c r="AHS6" s="42"/>
      <c r="AHT6" s="42"/>
      <c r="AHU6" s="42"/>
      <c r="AHV6" s="42"/>
      <c r="AHW6" s="42"/>
      <c r="AHX6" s="42"/>
      <c r="AHY6" s="42"/>
      <c r="AHZ6" s="42"/>
      <c r="AIA6" s="42"/>
      <c r="AIB6" s="42"/>
      <c r="AIC6" s="42"/>
      <c r="AID6" s="42"/>
      <c r="AIE6" s="42"/>
      <c r="AIF6" s="42"/>
      <c r="AIG6" s="42"/>
      <c r="AIH6" s="42"/>
      <c r="AII6" s="42"/>
      <c r="AIJ6" s="42"/>
      <c r="AIK6" s="42"/>
      <c r="AIL6" s="42"/>
      <c r="AIM6" s="42"/>
      <c r="AIN6" s="42"/>
      <c r="AIO6" s="42"/>
      <c r="AIP6" s="42"/>
      <c r="AIQ6" s="42"/>
      <c r="AIR6" s="42"/>
      <c r="AIS6" s="42"/>
      <c r="AIT6" s="42"/>
      <c r="AIU6" s="42"/>
      <c r="AIV6" s="42"/>
      <c r="AIW6" s="42"/>
      <c r="AIX6" s="42"/>
      <c r="AIY6" s="42"/>
      <c r="AIZ6" s="42"/>
      <c r="AJA6" s="42"/>
      <c r="AJB6" s="42"/>
      <c r="AJC6" s="42"/>
      <c r="AJD6" s="42"/>
      <c r="AJE6" s="42"/>
      <c r="AJF6" s="42"/>
      <c r="AJG6" s="42"/>
      <c r="AJH6" s="42"/>
      <c r="AJI6" s="42"/>
      <c r="AJJ6" s="42"/>
      <c r="AJK6" s="42"/>
      <c r="AJL6" s="42"/>
      <c r="AJM6" s="42"/>
      <c r="AJN6" s="42"/>
      <c r="AJO6" s="42"/>
      <c r="AJP6" s="42"/>
      <c r="AJQ6" s="42"/>
      <c r="AJR6" s="42"/>
      <c r="AJS6" s="42"/>
      <c r="AJT6" s="42"/>
      <c r="AJU6" s="42"/>
      <c r="AJV6" s="42"/>
      <c r="AJW6" s="42"/>
      <c r="AJX6" s="42"/>
      <c r="AJY6" s="42"/>
      <c r="AJZ6" s="42"/>
      <c r="AKA6" s="42"/>
      <c r="AKB6" s="42"/>
      <c r="AKC6" s="42"/>
      <c r="AKD6" s="42"/>
      <c r="AKE6" s="42"/>
      <c r="AKF6" s="42"/>
      <c r="AKG6" s="42"/>
      <c r="AKH6" s="42"/>
      <c r="AKI6" s="42"/>
      <c r="AKJ6" s="42"/>
      <c r="AKK6" s="42"/>
      <c r="AKL6" s="42"/>
      <c r="AKM6" s="42"/>
      <c r="AKN6" s="42"/>
      <c r="AKO6" s="42"/>
      <c r="AKP6" s="42"/>
      <c r="AKQ6" s="42"/>
      <c r="AKR6" s="42"/>
      <c r="AKS6" s="42"/>
      <c r="AKT6" s="42"/>
      <c r="AKU6" s="42"/>
      <c r="AKV6" s="42"/>
      <c r="AKW6" s="42"/>
      <c r="AKX6" s="42"/>
      <c r="AKY6" s="42"/>
      <c r="AKZ6" s="42"/>
      <c r="ALA6" s="42"/>
      <c r="ALB6" s="42"/>
      <c r="ALC6" s="42"/>
      <c r="ALD6" s="42"/>
      <c r="ALE6" s="42"/>
      <c r="ALF6" s="42"/>
      <c r="ALG6" s="42"/>
      <c r="ALH6" s="42"/>
      <c r="ALI6" s="42"/>
      <c r="ALJ6" s="42"/>
      <c r="ALK6" s="42"/>
      <c r="ALL6" s="42"/>
      <c r="ALM6" s="42"/>
      <c r="ALN6" s="42"/>
      <c r="ALO6" s="42"/>
      <c r="ALP6" s="42"/>
      <c r="ALQ6" s="42"/>
      <c r="ALR6" s="42"/>
      <c r="ALS6" s="42"/>
      <c r="ALT6" s="42"/>
      <c r="ALU6" s="42"/>
      <c r="ALV6" s="42"/>
      <c r="ALW6" s="42"/>
      <c r="ALX6" s="42"/>
      <c r="ALY6" s="42"/>
      <c r="ALZ6" s="42"/>
      <c r="AMA6" s="42"/>
      <c r="AMB6" s="42"/>
      <c r="AMC6" s="42"/>
      <c r="AMD6" s="42"/>
      <c r="AME6" s="42"/>
      <c r="AMF6" s="42"/>
      <c r="AMG6" s="42"/>
      <c r="AMH6" s="42"/>
      <c r="AMI6" s="42"/>
      <c r="AMJ6" s="42"/>
      <c r="AMK6" s="42"/>
      <c r="AML6" s="42"/>
      <c r="AMM6" s="42"/>
      <c r="AMN6" s="42"/>
      <c r="AMO6" s="42"/>
      <c r="AMP6" s="42"/>
      <c r="AMQ6" s="42"/>
      <c r="AMR6" s="42"/>
      <c r="AMS6" s="42"/>
      <c r="AMT6" s="42"/>
      <c r="AMU6" s="42"/>
      <c r="AMV6" s="42"/>
      <c r="AMW6" s="42"/>
      <c r="AMX6" s="42"/>
      <c r="AMY6" s="42"/>
      <c r="AMZ6" s="42"/>
      <c r="ANA6" s="42"/>
      <c r="ANB6" s="42"/>
      <c r="ANC6" s="42"/>
      <c r="AND6" s="42"/>
      <c r="ANE6" s="42"/>
      <c r="ANF6" s="42"/>
      <c r="ANG6" s="42"/>
      <c r="ANH6" s="42"/>
      <c r="ANI6" s="42"/>
      <c r="ANJ6" s="42"/>
      <c r="ANK6" s="42"/>
      <c r="ANL6" s="42"/>
      <c r="ANM6" s="42"/>
      <c r="ANN6" s="42"/>
      <c r="ANO6" s="42"/>
      <c r="ANP6" s="42"/>
      <c r="ANQ6" s="42"/>
      <c r="ANR6" s="42"/>
      <c r="ANS6" s="42"/>
      <c r="ANT6" s="42"/>
      <c r="ANU6" s="42"/>
      <c r="ANV6" s="42"/>
      <c r="ANW6" s="42"/>
      <c r="ANX6" s="42"/>
      <c r="ANY6" s="42"/>
      <c r="ANZ6" s="42"/>
      <c r="AOA6" s="42"/>
      <c r="AOB6" s="42"/>
      <c r="AOC6" s="42"/>
      <c r="AOD6" s="42"/>
      <c r="AOE6" s="42"/>
      <c r="AOF6" s="42"/>
      <c r="AOG6" s="42"/>
      <c r="AOH6" s="42"/>
      <c r="AOI6" s="42"/>
      <c r="AOJ6" s="42"/>
      <c r="AOK6" s="42"/>
      <c r="AOL6" s="42"/>
      <c r="AOM6" s="42"/>
      <c r="AON6" s="42"/>
      <c r="AOO6" s="42"/>
      <c r="AOP6" s="42"/>
      <c r="AOQ6" s="42"/>
      <c r="AOR6" s="42"/>
      <c r="AOS6" s="42"/>
      <c r="AOT6" s="42"/>
      <c r="AOU6" s="42"/>
      <c r="AOV6" s="42"/>
      <c r="AOW6" s="42"/>
      <c r="AOX6" s="42"/>
      <c r="AOY6" s="42"/>
      <c r="AOZ6" s="42"/>
      <c r="APA6" s="42"/>
      <c r="APB6" s="42"/>
      <c r="APC6" s="42"/>
      <c r="APD6" s="42"/>
      <c r="APE6" s="42"/>
      <c r="APF6" s="42"/>
      <c r="APG6" s="42"/>
      <c r="APH6" s="42"/>
      <c r="API6" s="42"/>
      <c r="APJ6" s="42"/>
      <c r="APK6" s="42"/>
      <c r="APL6" s="42"/>
      <c r="APM6" s="42"/>
      <c r="APN6" s="42"/>
      <c r="APO6" s="42"/>
      <c r="APP6" s="42"/>
      <c r="APQ6" s="42"/>
      <c r="APR6" s="42"/>
      <c r="APS6" s="42"/>
      <c r="APT6" s="42"/>
      <c r="APU6" s="42"/>
      <c r="APV6" s="42"/>
      <c r="APW6" s="42"/>
      <c r="APX6" s="42"/>
      <c r="APY6" s="42"/>
      <c r="APZ6" s="42"/>
      <c r="AQA6" s="42"/>
      <c r="AQB6" s="42"/>
      <c r="AQC6" s="42"/>
      <c r="AQD6" s="42"/>
      <c r="AQE6" s="42"/>
      <c r="AQF6" s="42"/>
      <c r="AQG6" s="42"/>
      <c r="AQH6" s="42"/>
      <c r="AQI6" s="42"/>
      <c r="AQJ6" s="42"/>
      <c r="AQK6" s="42"/>
      <c r="AQL6" s="42"/>
      <c r="AQM6" s="42"/>
      <c r="AQN6" s="42"/>
      <c r="AQO6" s="42"/>
      <c r="AQP6" s="42"/>
      <c r="AQQ6" s="42"/>
      <c r="AQR6" s="42"/>
      <c r="AQS6" s="42"/>
      <c r="AQT6" s="42"/>
      <c r="AQU6" s="42"/>
      <c r="AQV6" s="42"/>
      <c r="AQW6" s="42"/>
      <c r="AQX6" s="42"/>
      <c r="AQY6" s="42"/>
      <c r="AQZ6" s="42"/>
      <c r="ARA6" s="42"/>
      <c r="ARB6" s="42"/>
      <c r="ARC6" s="42"/>
      <c r="ARD6" s="42"/>
      <c r="ARE6" s="42"/>
      <c r="ARF6" s="42"/>
      <c r="ARG6" s="42"/>
      <c r="ARH6" s="42"/>
      <c r="ARI6" s="42"/>
      <c r="ARJ6" s="42"/>
      <c r="ARK6" s="42"/>
      <c r="ARL6" s="42"/>
      <c r="ARM6" s="42"/>
      <c r="ARN6" s="42"/>
      <c r="ARO6" s="42"/>
      <c r="ARP6" s="42"/>
      <c r="ARQ6" s="42"/>
      <c r="ARR6" s="42"/>
      <c r="ARS6" s="42"/>
      <c r="ART6" s="42"/>
      <c r="ARU6" s="42"/>
      <c r="ARV6" s="42"/>
      <c r="ARW6" s="42"/>
      <c r="ARX6" s="42"/>
      <c r="ARY6" s="42"/>
      <c r="ARZ6" s="42"/>
      <c r="ASA6" s="42"/>
      <c r="ASB6" s="42"/>
      <c r="ASC6" s="42"/>
      <c r="ASD6" s="42"/>
      <c r="ASE6" s="42"/>
      <c r="ASF6" s="42"/>
      <c r="ASG6" s="42"/>
      <c r="ASH6" s="42"/>
      <c r="ASI6" s="42"/>
      <c r="ASJ6" s="42"/>
      <c r="ASK6" s="42"/>
      <c r="ASL6" s="42"/>
      <c r="ASM6" s="42"/>
      <c r="ASN6" s="42"/>
      <c r="ASO6" s="42"/>
      <c r="ASP6" s="42"/>
      <c r="ASQ6" s="42"/>
      <c r="ASR6" s="42"/>
      <c r="ASS6" s="42"/>
      <c r="AST6" s="42"/>
      <c r="ASU6" s="42"/>
      <c r="ASV6" s="42"/>
      <c r="ASW6" s="42"/>
      <c r="ASX6" s="42"/>
      <c r="ASY6" s="42"/>
      <c r="ASZ6" s="42"/>
      <c r="ATA6" s="42"/>
      <c r="ATB6" s="42"/>
      <c r="ATC6" s="42"/>
      <c r="ATD6" s="42"/>
      <c r="ATE6" s="42"/>
      <c r="ATF6" s="42"/>
      <c r="ATG6" s="42"/>
      <c r="ATH6" s="42"/>
      <c r="ATI6" s="42"/>
      <c r="ATJ6" s="42"/>
      <c r="ATK6" s="42"/>
      <c r="ATL6" s="42"/>
      <c r="ATM6" s="42"/>
      <c r="ATN6" s="42"/>
      <c r="ATO6" s="42"/>
      <c r="ATP6" s="42"/>
      <c r="ATQ6" s="42"/>
      <c r="ATR6" s="42"/>
      <c r="ATS6" s="42"/>
      <c r="ATT6" s="42"/>
      <c r="ATU6" s="42"/>
      <c r="ATV6" s="42"/>
      <c r="ATW6" s="42"/>
      <c r="ATX6" s="42"/>
      <c r="ATY6" s="42"/>
      <c r="ATZ6" s="42"/>
      <c r="AUA6" s="42"/>
      <c r="AUB6" s="42"/>
      <c r="AUC6" s="42"/>
      <c r="AUD6" s="42"/>
      <c r="AUE6" s="42"/>
      <c r="AUF6" s="42"/>
      <c r="AUG6" s="42"/>
      <c r="AUH6" s="42"/>
      <c r="AUI6" s="42"/>
      <c r="AUJ6" s="42"/>
      <c r="AUK6" s="42"/>
      <c r="AUL6" s="42"/>
      <c r="AUM6" s="42"/>
      <c r="AUN6" s="42"/>
      <c r="AUO6" s="42"/>
      <c r="AUP6" s="42"/>
      <c r="AUQ6" s="42"/>
      <c r="AUR6" s="42"/>
      <c r="AUS6" s="42"/>
      <c r="AUT6" s="42"/>
      <c r="AUU6" s="42"/>
      <c r="AUV6" s="42"/>
      <c r="AUW6" s="42"/>
      <c r="AUX6" s="42"/>
      <c r="AUY6" s="42"/>
      <c r="AUZ6" s="42"/>
      <c r="AVA6" s="42"/>
      <c r="AVB6" s="42"/>
      <c r="AVC6" s="42"/>
      <c r="AVD6" s="42"/>
      <c r="AVE6" s="42"/>
      <c r="AVF6" s="42"/>
      <c r="AVG6" s="42"/>
      <c r="AVH6" s="42"/>
      <c r="AVI6" s="42"/>
      <c r="AVJ6" s="42"/>
      <c r="AVK6" s="42"/>
      <c r="AVL6" s="42"/>
      <c r="AVM6" s="42"/>
      <c r="AVN6" s="42"/>
      <c r="AVO6" s="42"/>
      <c r="AVP6" s="42"/>
      <c r="AVQ6" s="42"/>
      <c r="AVR6" s="42"/>
      <c r="AVS6" s="42"/>
      <c r="AVT6" s="42"/>
      <c r="AVU6" s="42"/>
      <c r="AVV6" s="42"/>
      <c r="AVW6" s="42"/>
      <c r="AVX6" s="42"/>
      <c r="AVY6" s="42"/>
      <c r="AVZ6" s="42"/>
      <c r="AWA6" s="42"/>
      <c r="AWB6" s="42"/>
      <c r="AWC6" s="42"/>
      <c r="AWD6" s="42"/>
      <c r="AWE6" s="42"/>
      <c r="AWF6" s="42"/>
      <c r="AWG6" s="42"/>
      <c r="AWH6" s="42"/>
      <c r="AWI6" s="42"/>
      <c r="AWJ6" s="42"/>
      <c r="AWK6" s="42"/>
      <c r="AWL6" s="42"/>
      <c r="AWM6" s="42"/>
      <c r="AWN6" s="42"/>
      <c r="AWO6" s="42"/>
      <c r="AWP6" s="42"/>
      <c r="AWQ6" s="42"/>
      <c r="AWR6" s="42"/>
      <c r="AWS6" s="42"/>
      <c r="AWT6" s="42"/>
      <c r="AWU6" s="42"/>
      <c r="AWV6" s="42"/>
      <c r="AWW6" s="42"/>
      <c r="AWX6" s="42"/>
      <c r="AWY6" s="42"/>
      <c r="AWZ6" s="42"/>
      <c r="AXA6" s="42"/>
      <c r="AXB6" s="42"/>
      <c r="AXC6" s="42"/>
      <c r="AXD6" s="42"/>
      <c r="AXE6" s="42"/>
      <c r="AXF6" s="42"/>
      <c r="AXG6" s="42"/>
      <c r="AXH6" s="42"/>
      <c r="AXI6" s="42"/>
      <c r="AXJ6" s="42"/>
      <c r="AXK6" s="42"/>
      <c r="AXL6" s="42"/>
      <c r="AXM6" s="42"/>
      <c r="AXN6" s="42"/>
      <c r="AXO6" s="42"/>
      <c r="AXP6" s="42"/>
      <c r="AXQ6" s="42"/>
      <c r="AXR6" s="42"/>
      <c r="AXS6" s="42"/>
      <c r="AXT6" s="42"/>
      <c r="AXU6" s="42"/>
      <c r="AXV6" s="42"/>
      <c r="AXW6" s="42"/>
      <c r="AXX6" s="42"/>
      <c r="AXY6" s="42"/>
      <c r="AXZ6" s="42"/>
      <c r="AYA6" s="42"/>
      <c r="AYB6" s="42"/>
      <c r="AYC6" s="42"/>
      <c r="AYD6" s="42"/>
      <c r="AYE6" s="42"/>
      <c r="AYF6" s="42"/>
      <c r="AYG6" s="42"/>
      <c r="AYH6" s="42"/>
      <c r="AYI6" s="42"/>
      <c r="AYJ6" s="42"/>
      <c r="AYK6" s="42"/>
      <c r="AYL6" s="42"/>
      <c r="AYM6" s="42"/>
      <c r="AYN6" s="42"/>
      <c r="AYO6" s="42"/>
      <c r="AYP6" s="42"/>
      <c r="AYQ6" s="42"/>
      <c r="AYR6" s="42"/>
      <c r="AYS6" s="42"/>
      <c r="AYT6" s="42"/>
      <c r="AYU6" s="42"/>
      <c r="AYV6" s="42"/>
      <c r="AYW6" s="42"/>
      <c r="AYX6" s="42"/>
      <c r="AYY6" s="42"/>
      <c r="AYZ6" s="42"/>
      <c r="AZA6" s="42"/>
      <c r="AZB6" s="42"/>
      <c r="AZC6" s="42"/>
      <c r="AZD6" s="42"/>
      <c r="AZE6" s="42"/>
      <c r="AZF6" s="42"/>
      <c r="AZG6" s="42"/>
      <c r="AZH6" s="42"/>
      <c r="AZI6" s="42"/>
      <c r="AZJ6" s="42"/>
      <c r="AZK6" s="42"/>
      <c r="AZL6" s="42"/>
      <c r="AZM6" s="42"/>
      <c r="AZN6" s="42"/>
      <c r="AZO6" s="42"/>
      <c r="AZP6" s="42"/>
      <c r="AZQ6" s="42"/>
      <c r="AZR6" s="42"/>
      <c r="AZS6" s="42"/>
      <c r="AZT6" s="42"/>
      <c r="AZU6" s="42"/>
      <c r="AZV6" s="42"/>
      <c r="AZW6" s="42"/>
      <c r="AZX6" s="42"/>
      <c r="AZY6" s="42"/>
      <c r="AZZ6" s="42"/>
      <c r="BAA6" s="42"/>
      <c r="BAB6" s="42"/>
      <c r="BAC6" s="42"/>
      <c r="BAD6" s="42"/>
      <c r="BAE6" s="42"/>
      <c r="BAF6" s="42"/>
      <c r="BAG6" s="42"/>
      <c r="BAH6" s="42"/>
      <c r="BAI6" s="42"/>
      <c r="BAJ6" s="42"/>
      <c r="BAK6" s="42"/>
      <c r="BAL6" s="42"/>
      <c r="BAM6" s="42"/>
      <c r="BAN6" s="42"/>
      <c r="BAO6" s="42"/>
      <c r="BAP6" s="42"/>
      <c r="BAQ6" s="42"/>
      <c r="BAR6" s="42"/>
      <c r="BAS6" s="42"/>
      <c r="BAT6" s="42"/>
      <c r="BAU6" s="42"/>
      <c r="BAV6" s="42"/>
      <c r="BAW6" s="42"/>
      <c r="BAX6" s="42"/>
      <c r="BAY6" s="42"/>
      <c r="BAZ6" s="42"/>
      <c r="BBA6" s="42"/>
      <c r="BBB6" s="42"/>
      <c r="BBC6" s="42"/>
      <c r="BBD6" s="42"/>
      <c r="BBE6" s="42"/>
      <c r="BBF6" s="42"/>
      <c r="BBG6" s="42"/>
      <c r="BBH6" s="42"/>
      <c r="BBI6" s="42"/>
      <c r="BBJ6" s="42"/>
      <c r="BBK6" s="42"/>
      <c r="BBL6" s="42"/>
      <c r="BBM6" s="42"/>
      <c r="BBN6" s="42"/>
      <c r="BBO6" s="42"/>
      <c r="BBP6" s="42"/>
      <c r="BBQ6" s="42"/>
      <c r="BBR6" s="42"/>
    </row>
    <row r="7" spans="1:1422" ht="54.6" customHeight="1" x14ac:dyDescent="0.3">
      <c r="B7" s="72"/>
      <c r="C7" s="91" t="str">
        <f>"★ HIGHLIGHTS — "&amp;UPPER(C̳álculos!$H$43)</f>
        <v>★ HIGHLIGHTS — ANNUAL</v>
      </c>
      <c r="D7" s="92"/>
      <c r="E7" s="92"/>
      <c r="F7" s="92"/>
      <c r="G7" s="92"/>
      <c r="H7" s="92"/>
      <c r="I7" s="92"/>
      <c r="J7" s="92"/>
      <c r="K7" s="9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  <c r="CO7" s="42"/>
      <c r="CP7" s="42"/>
      <c r="CQ7" s="42"/>
      <c r="CR7" s="42"/>
      <c r="CS7" s="42"/>
      <c r="CT7" s="42"/>
      <c r="CU7" s="42"/>
      <c r="CV7" s="42"/>
      <c r="CW7" s="42"/>
      <c r="CX7" s="42"/>
      <c r="CY7" s="42"/>
      <c r="CZ7" s="42"/>
      <c r="DA7" s="42"/>
      <c r="DB7" s="42"/>
      <c r="DC7" s="42"/>
      <c r="DD7" s="42"/>
      <c r="DE7" s="42"/>
      <c r="DF7" s="42"/>
      <c r="DG7" s="42"/>
      <c r="DH7" s="42"/>
      <c r="DI7" s="42"/>
      <c r="DJ7" s="42"/>
      <c r="DK7" s="42"/>
      <c r="DL7" s="42"/>
      <c r="DM7" s="42"/>
      <c r="DN7" s="42"/>
      <c r="DO7" s="42"/>
      <c r="DP7" s="42"/>
      <c r="DQ7" s="42"/>
      <c r="DR7" s="42"/>
      <c r="DS7" s="42"/>
      <c r="DT7" s="42"/>
      <c r="DU7" s="42"/>
      <c r="DV7" s="42"/>
      <c r="DW7" s="42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  <c r="EP7" s="42"/>
      <c r="EQ7" s="42"/>
      <c r="ER7" s="42"/>
      <c r="ES7" s="42"/>
      <c r="ET7" s="42"/>
      <c r="EU7" s="42"/>
      <c r="EV7" s="42"/>
      <c r="EW7" s="42"/>
      <c r="EX7" s="42"/>
      <c r="EY7" s="42"/>
      <c r="EZ7" s="42"/>
      <c r="FA7" s="42"/>
      <c r="FB7" s="42"/>
      <c r="FC7" s="42"/>
      <c r="FD7" s="42"/>
      <c r="FE7" s="42"/>
      <c r="FF7" s="42"/>
      <c r="FG7" s="42"/>
      <c r="FH7" s="42"/>
      <c r="FI7" s="42"/>
      <c r="FJ7" s="42"/>
      <c r="FK7" s="42"/>
      <c r="FL7" s="42"/>
      <c r="FM7" s="42"/>
      <c r="FN7" s="42"/>
      <c r="FO7" s="42"/>
      <c r="FP7" s="42"/>
      <c r="FQ7" s="42"/>
      <c r="FR7" s="42"/>
      <c r="FS7" s="42"/>
      <c r="FT7" s="42"/>
      <c r="FU7" s="42"/>
      <c r="FV7" s="42"/>
      <c r="FW7" s="42"/>
      <c r="FX7" s="42"/>
      <c r="FY7" s="42"/>
      <c r="FZ7" s="42"/>
      <c r="GA7" s="42"/>
      <c r="GB7" s="42"/>
      <c r="GC7" s="42"/>
      <c r="GD7" s="42"/>
      <c r="GE7" s="42"/>
      <c r="GF7" s="42"/>
      <c r="GG7" s="42"/>
      <c r="GH7" s="42"/>
      <c r="GI7" s="42"/>
      <c r="GJ7" s="42"/>
      <c r="GK7" s="42"/>
      <c r="GL7" s="42"/>
      <c r="GM7" s="42"/>
      <c r="GN7" s="42"/>
      <c r="GO7" s="42"/>
      <c r="GP7" s="42"/>
      <c r="GQ7" s="42"/>
      <c r="GR7" s="42"/>
      <c r="GS7" s="42"/>
      <c r="GT7" s="42"/>
      <c r="GU7" s="42"/>
      <c r="GV7" s="42"/>
      <c r="GW7" s="42"/>
      <c r="GX7" s="42"/>
      <c r="GY7" s="42"/>
      <c r="GZ7" s="42"/>
      <c r="HA7" s="42"/>
      <c r="HB7" s="42"/>
      <c r="HC7" s="42"/>
      <c r="HD7" s="42"/>
      <c r="HE7" s="42"/>
      <c r="HF7" s="42"/>
      <c r="HG7" s="42"/>
      <c r="HH7" s="42"/>
      <c r="HI7" s="42"/>
      <c r="HJ7" s="42"/>
      <c r="HK7" s="42"/>
      <c r="HL7" s="42"/>
      <c r="HM7" s="42"/>
      <c r="HN7" s="42"/>
      <c r="HO7" s="42"/>
      <c r="HP7" s="42"/>
      <c r="HQ7" s="42"/>
      <c r="HR7" s="42"/>
      <c r="HS7" s="42"/>
      <c r="HT7" s="42"/>
      <c r="HU7" s="42"/>
      <c r="HV7" s="42"/>
      <c r="HW7" s="42"/>
      <c r="HX7" s="42"/>
      <c r="HY7" s="42"/>
      <c r="HZ7" s="42"/>
      <c r="IA7" s="42"/>
      <c r="IB7" s="42"/>
      <c r="IC7" s="42"/>
      <c r="ID7" s="42"/>
      <c r="IE7" s="42"/>
      <c r="IF7" s="42"/>
      <c r="IG7" s="42"/>
      <c r="IH7" s="42"/>
      <c r="II7" s="42"/>
      <c r="IJ7" s="42"/>
      <c r="IK7" s="42"/>
      <c r="IL7" s="42"/>
      <c r="IM7" s="42"/>
      <c r="IN7" s="42"/>
      <c r="IO7" s="42"/>
      <c r="IP7" s="42"/>
      <c r="IQ7" s="42"/>
      <c r="IR7" s="42"/>
      <c r="IS7" s="42"/>
      <c r="IT7" s="42"/>
      <c r="IU7" s="42"/>
      <c r="IV7" s="42"/>
      <c r="IW7" s="42"/>
      <c r="IX7" s="42"/>
      <c r="IY7" s="42"/>
      <c r="IZ7" s="42"/>
      <c r="JA7" s="42"/>
      <c r="JB7" s="42"/>
      <c r="JC7" s="42"/>
      <c r="JD7" s="42"/>
      <c r="JE7" s="42"/>
      <c r="JF7" s="42"/>
      <c r="JG7" s="42"/>
      <c r="JH7" s="42"/>
      <c r="JI7" s="42"/>
      <c r="JJ7" s="42"/>
      <c r="JK7" s="42"/>
      <c r="JL7" s="42"/>
      <c r="JM7" s="42"/>
      <c r="JN7" s="42"/>
      <c r="JO7" s="42"/>
      <c r="JP7" s="42"/>
      <c r="JQ7" s="42"/>
      <c r="JR7" s="42"/>
      <c r="JS7" s="42"/>
      <c r="JT7" s="42"/>
      <c r="JU7" s="42"/>
      <c r="JV7" s="42"/>
      <c r="JW7" s="42"/>
      <c r="JX7" s="42"/>
      <c r="JY7" s="42"/>
      <c r="JZ7" s="42"/>
      <c r="KA7" s="42"/>
      <c r="KB7" s="42"/>
      <c r="KC7" s="42"/>
      <c r="KD7" s="42"/>
      <c r="KE7" s="42"/>
      <c r="KF7" s="42"/>
      <c r="KG7" s="42"/>
      <c r="KH7" s="42"/>
      <c r="KI7" s="42"/>
      <c r="KJ7" s="42"/>
      <c r="KK7" s="42"/>
      <c r="KL7" s="42"/>
      <c r="KM7" s="42"/>
      <c r="KN7" s="42"/>
      <c r="KO7" s="42"/>
      <c r="KP7" s="42"/>
      <c r="KQ7" s="42"/>
      <c r="KR7" s="42"/>
      <c r="KS7" s="42"/>
      <c r="KT7" s="42"/>
      <c r="KU7" s="42"/>
      <c r="KV7" s="42"/>
      <c r="KW7" s="42"/>
      <c r="KX7" s="42"/>
      <c r="KY7" s="42"/>
      <c r="KZ7" s="42"/>
      <c r="LA7" s="42"/>
      <c r="LB7" s="42"/>
      <c r="LC7" s="42"/>
      <c r="LD7" s="42"/>
      <c r="LE7" s="42"/>
      <c r="LF7" s="42"/>
      <c r="LG7" s="42"/>
      <c r="LH7" s="42"/>
      <c r="LI7" s="42"/>
      <c r="LJ7" s="42"/>
      <c r="LK7" s="42"/>
      <c r="LL7" s="42"/>
      <c r="LM7" s="42"/>
      <c r="LN7" s="42"/>
      <c r="LO7" s="42"/>
      <c r="LP7" s="42"/>
      <c r="LQ7" s="42"/>
      <c r="LR7" s="42"/>
      <c r="LS7" s="42"/>
      <c r="LT7" s="42"/>
      <c r="LU7" s="42"/>
      <c r="LV7" s="42"/>
      <c r="LW7" s="42"/>
      <c r="LX7" s="42"/>
      <c r="LY7" s="42"/>
      <c r="LZ7" s="42"/>
      <c r="MA7" s="42"/>
      <c r="MB7" s="42"/>
      <c r="MC7" s="42"/>
      <c r="MD7" s="42"/>
      <c r="ME7" s="42"/>
      <c r="MF7" s="42"/>
      <c r="MG7" s="42"/>
      <c r="MH7" s="42"/>
      <c r="MI7" s="42"/>
      <c r="MJ7" s="42"/>
      <c r="MK7" s="42"/>
      <c r="ML7" s="42"/>
      <c r="MM7" s="42"/>
      <c r="MN7" s="42"/>
      <c r="MO7" s="42"/>
      <c r="MP7" s="42"/>
      <c r="MQ7" s="42"/>
      <c r="MR7" s="42"/>
      <c r="MS7" s="42"/>
      <c r="MT7" s="42"/>
      <c r="MU7" s="42"/>
      <c r="MV7" s="42"/>
      <c r="MW7" s="42"/>
      <c r="MX7" s="42"/>
      <c r="MY7" s="42"/>
      <c r="MZ7" s="42"/>
      <c r="NA7" s="42"/>
      <c r="NB7" s="42"/>
      <c r="NC7" s="42"/>
      <c r="ND7" s="42"/>
      <c r="NE7" s="42"/>
      <c r="NF7" s="42"/>
      <c r="NG7" s="42"/>
      <c r="NH7" s="42"/>
      <c r="NI7" s="42"/>
      <c r="NJ7" s="42"/>
      <c r="NK7" s="42"/>
      <c r="NL7" s="42"/>
      <c r="NM7" s="42"/>
      <c r="NN7" s="42"/>
      <c r="NO7" s="42"/>
      <c r="NP7" s="42"/>
      <c r="NQ7" s="42"/>
      <c r="NR7" s="42"/>
      <c r="NS7" s="42"/>
      <c r="NT7" s="42"/>
      <c r="NU7" s="42"/>
      <c r="NV7" s="42"/>
      <c r="NW7" s="42"/>
      <c r="NX7" s="42"/>
      <c r="NY7" s="42"/>
      <c r="NZ7" s="42"/>
      <c r="OA7" s="42"/>
      <c r="OB7" s="42"/>
      <c r="OC7" s="42"/>
      <c r="OD7" s="42"/>
      <c r="OE7" s="42"/>
      <c r="OF7" s="42"/>
      <c r="OG7" s="42"/>
      <c r="OH7" s="42"/>
      <c r="OI7" s="42"/>
      <c r="OJ7" s="42"/>
      <c r="OK7" s="42"/>
      <c r="OL7" s="42"/>
      <c r="OM7" s="42"/>
      <c r="ON7" s="42"/>
      <c r="OO7" s="42"/>
      <c r="OP7" s="42"/>
      <c r="OQ7" s="42"/>
      <c r="OR7" s="42"/>
      <c r="OS7" s="42"/>
      <c r="OT7" s="42"/>
      <c r="OU7" s="42"/>
      <c r="OV7" s="42"/>
      <c r="OW7" s="42"/>
      <c r="OX7" s="42"/>
      <c r="OY7" s="42"/>
      <c r="OZ7" s="42"/>
      <c r="PA7" s="42"/>
      <c r="PB7" s="42"/>
      <c r="PC7" s="42"/>
      <c r="PD7" s="42"/>
      <c r="PE7" s="42"/>
      <c r="PF7" s="42"/>
      <c r="PG7" s="42"/>
      <c r="PH7" s="42"/>
      <c r="PI7" s="42"/>
      <c r="PJ7" s="42"/>
      <c r="PK7" s="42"/>
      <c r="PL7" s="42"/>
      <c r="PM7" s="42"/>
      <c r="PN7" s="42"/>
      <c r="PO7" s="42"/>
      <c r="PP7" s="42"/>
      <c r="PQ7" s="42"/>
      <c r="PR7" s="42"/>
      <c r="PS7" s="42"/>
      <c r="PT7" s="42"/>
      <c r="PU7" s="42"/>
      <c r="PV7" s="42"/>
      <c r="PW7" s="42"/>
      <c r="PX7" s="42"/>
      <c r="PY7" s="42"/>
      <c r="PZ7" s="42"/>
      <c r="QA7" s="42"/>
      <c r="QB7" s="42"/>
      <c r="QC7" s="42"/>
      <c r="QD7" s="42"/>
      <c r="QE7" s="42"/>
      <c r="QF7" s="42"/>
      <c r="QG7" s="42"/>
      <c r="QH7" s="42"/>
      <c r="QI7" s="42"/>
      <c r="QJ7" s="42"/>
      <c r="QK7" s="42"/>
      <c r="QL7" s="42"/>
      <c r="QM7" s="42"/>
      <c r="QN7" s="42"/>
      <c r="QO7" s="42"/>
      <c r="QP7" s="42"/>
      <c r="QQ7" s="42"/>
      <c r="QR7" s="42"/>
      <c r="QS7" s="42"/>
      <c r="QT7" s="42"/>
      <c r="QU7" s="42"/>
      <c r="QV7" s="42"/>
      <c r="QW7" s="42"/>
      <c r="QX7" s="42"/>
      <c r="QY7" s="42"/>
      <c r="QZ7" s="42"/>
      <c r="RA7" s="42"/>
      <c r="RB7" s="42"/>
      <c r="RC7" s="42"/>
      <c r="RD7" s="42"/>
      <c r="RE7" s="42"/>
      <c r="RF7" s="42"/>
      <c r="RG7" s="42"/>
      <c r="RH7" s="42"/>
      <c r="RI7" s="42"/>
      <c r="RJ7" s="42"/>
      <c r="RK7" s="42"/>
      <c r="RL7" s="42"/>
      <c r="RM7" s="42"/>
      <c r="RN7" s="42"/>
      <c r="RO7" s="42"/>
      <c r="RP7" s="42"/>
      <c r="RQ7" s="42"/>
      <c r="RR7" s="42"/>
      <c r="RS7" s="42"/>
      <c r="RT7" s="42"/>
      <c r="RU7" s="42"/>
      <c r="RV7" s="42"/>
      <c r="RW7" s="42"/>
      <c r="RX7" s="42"/>
      <c r="RY7" s="42"/>
      <c r="RZ7" s="42"/>
      <c r="SA7" s="42"/>
      <c r="SB7" s="42"/>
      <c r="SC7" s="42"/>
      <c r="SD7" s="42"/>
      <c r="SE7" s="42"/>
      <c r="SF7" s="42"/>
      <c r="SG7" s="42"/>
      <c r="SH7" s="42"/>
      <c r="SI7" s="42"/>
      <c r="SJ7" s="42"/>
      <c r="SK7" s="42"/>
      <c r="SL7" s="42"/>
      <c r="SM7" s="42"/>
      <c r="SN7" s="42"/>
      <c r="SO7" s="42"/>
      <c r="SP7" s="42"/>
      <c r="SQ7" s="42"/>
      <c r="SR7" s="42"/>
      <c r="SS7" s="42"/>
      <c r="ST7" s="42"/>
      <c r="SU7" s="42"/>
      <c r="SV7" s="42"/>
      <c r="SW7" s="42"/>
      <c r="SX7" s="42"/>
      <c r="SY7" s="42"/>
      <c r="SZ7" s="42"/>
      <c r="TA7" s="42"/>
      <c r="TB7" s="42"/>
      <c r="TC7" s="42"/>
      <c r="TD7" s="42"/>
      <c r="TE7" s="42"/>
      <c r="TF7" s="42"/>
      <c r="TG7" s="42"/>
      <c r="TH7" s="42"/>
      <c r="TI7" s="42"/>
      <c r="TJ7" s="42"/>
      <c r="TK7" s="42"/>
      <c r="TL7" s="42"/>
      <c r="TM7" s="42"/>
      <c r="TN7" s="42"/>
      <c r="TO7" s="42"/>
      <c r="TP7" s="42"/>
      <c r="TQ7" s="42"/>
      <c r="TR7" s="42"/>
      <c r="TS7" s="42"/>
      <c r="TT7" s="42"/>
      <c r="TU7" s="42"/>
      <c r="TV7" s="42"/>
      <c r="TW7" s="42"/>
      <c r="TX7" s="42"/>
      <c r="TY7" s="42"/>
      <c r="TZ7" s="42"/>
      <c r="UA7" s="42"/>
      <c r="UB7" s="42"/>
      <c r="UC7" s="42"/>
      <c r="UD7" s="42"/>
      <c r="UE7" s="42"/>
      <c r="UF7" s="42"/>
      <c r="UG7" s="42"/>
      <c r="UH7" s="42"/>
      <c r="UI7" s="42"/>
      <c r="UJ7" s="42"/>
      <c r="UK7" s="42"/>
      <c r="UL7" s="42"/>
      <c r="UM7" s="42"/>
      <c r="UN7" s="42"/>
      <c r="UO7" s="42"/>
      <c r="UP7" s="42"/>
      <c r="UQ7" s="42"/>
      <c r="UR7" s="42"/>
      <c r="US7" s="42"/>
      <c r="UT7" s="42"/>
      <c r="UU7" s="42"/>
      <c r="UV7" s="42"/>
      <c r="UW7" s="42"/>
      <c r="UX7" s="42"/>
      <c r="UY7" s="42"/>
      <c r="UZ7" s="42"/>
      <c r="VA7" s="42"/>
      <c r="VB7" s="42"/>
      <c r="VC7" s="42"/>
      <c r="VD7" s="42"/>
      <c r="VE7" s="42"/>
      <c r="VF7" s="42"/>
      <c r="VG7" s="42"/>
      <c r="VH7" s="42"/>
      <c r="VI7" s="42"/>
      <c r="VJ7" s="42"/>
      <c r="VK7" s="42"/>
      <c r="VL7" s="42"/>
      <c r="VM7" s="42"/>
      <c r="VN7" s="42"/>
      <c r="VO7" s="42"/>
      <c r="VP7" s="42"/>
      <c r="VQ7" s="42"/>
      <c r="VR7" s="42"/>
      <c r="VS7" s="42"/>
      <c r="VT7" s="42"/>
      <c r="VU7" s="42"/>
      <c r="VV7" s="42"/>
      <c r="VW7" s="42"/>
      <c r="VX7" s="42"/>
      <c r="VY7" s="42"/>
      <c r="VZ7" s="42"/>
      <c r="WA7" s="42"/>
      <c r="WB7" s="42"/>
      <c r="WC7" s="42"/>
      <c r="WD7" s="42"/>
      <c r="WE7" s="42"/>
      <c r="WF7" s="42"/>
      <c r="WG7" s="42"/>
      <c r="WH7" s="42"/>
      <c r="WI7" s="42"/>
      <c r="WJ7" s="42"/>
      <c r="WK7" s="42"/>
      <c r="WL7" s="42"/>
      <c r="WM7" s="42"/>
      <c r="WN7" s="42"/>
      <c r="WO7" s="42"/>
      <c r="WP7" s="42"/>
      <c r="WQ7" s="42"/>
      <c r="WR7" s="42"/>
      <c r="WS7" s="42"/>
      <c r="WT7" s="42"/>
      <c r="WU7" s="42"/>
      <c r="WV7" s="42"/>
      <c r="WW7" s="42"/>
      <c r="WX7" s="42"/>
      <c r="WY7" s="42"/>
      <c r="WZ7" s="42"/>
      <c r="XA7" s="42"/>
      <c r="XB7" s="42"/>
      <c r="XC7" s="42"/>
      <c r="XD7" s="42"/>
      <c r="XE7" s="42"/>
      <c r="XF7" s="42"/>
      <c r="XG7" s="42"/>
      <c r="XH7" s="42"/>
      <c r="XI7" s="42"/>
      <c r="XJ7" s="42"/>
      <c r="XK7" s="42"/>
      <c r="XL7" s="42"/>
      <c r="XM7" s="42"/>
      <c r="XN7" s="42"/>
      <c r="XO7" s="42"/>
      <c r="XP7" s="42"/>
      <c r="XQ7" s="42"/>
      <c r="XR7" s="42"/>
      <c r="XS7" s="42"/>
      <c r="XT7" s="42"/>
      <c r="XU7" s="42"/>
      <c r="XV7" s="42"/>
      <c r="XW7" s="42"/>
      <c r="XX7" s="42"/>
      <c r="XY7" s="42"/>
      <c r="XZ7" s="42"/>
      <c r="YA7" s="42"/>
      <c r="YB7" s="42"/>
      <c r="YC7" s="42"/>
      <c r="YD7" s="42"/>
      <c r="YE7" s="42"/>
      <c r="YF7" s="42"/>
      <c r="YG7" s="42"/>
      <c r="YH7" s="42"/>
      <c r="YI7" s="42"/>
      <c r="YJ7" s="42"/>
      <c r="YK7" s="42"/>
      <c r="YL7" s="42"/>
      <c r="YM7" s="42"/>
      <c r="YN7" s="42"/>
      <c r="YO7" s="42"/>
      <c r="YP7" s="42"/>
      <c r="YQ7" s="42"/>
      <c r="YR7" s="42"/>
      <c r="YS7" s="42"/>
      <c r="YT7" s="42"/>
      <c r="YU7" s="42"/>
      <c r="YV7" s="42"/>
      <c r="YW7" s="42"/>
      <c r="YX7" s="42"/>
      <c r="YY7" s="42"/>
      <c r="YZ7" s="42"/>
      <c r="ZA7" s="42"/>
      <c r="ZB7" s="42"/>
      <c r="ZC7" s="42"/>
      <c r="ZD7" s="42"/>
      <c r="ZE7" s="42"/>
      <c r="ZF7" s="42"/>
      <c r="ZG7" s="42"/>
      <c r="ZH7" s="42"/>
      <c r="ZI7" s="42"/>
      <c r="ZJ7" s="42"/>
      <c r="ZK7" s="42"/>
      <c r="ZL7" s="42"/>
      <c r="ZM7" s="42"/>
      <c r="ZN7" s="42"/>
      <c r="ZO7" s="42"/>
      <c r="ZP7" s="42"/>
      <c r="ZQ7" s="42"/>
      <c r="ZR7" s="42"/>
      <c r="ZS7" s="42"/>
      <c r="ZT7" s="42"/>
      <c r="ZU7" s="42"/>
      <c r="ZV7" s="42"/>
      <c r="ZW7" s="42"/>
      <c r="ZX7" s="42"/>
      <c r="ZY7" s="42"/>
      <c r="ZZ7" s="42"/>
      <c r="AAA7" s="42"/>
      <c r="AAB7" s="42"/>
      <c r="AAC7" s="42"/>
      <c r="AAD7" s="42"/>
      <c r="AAE7" s="42"/>
      <c r="AAF7" s="42"/>
      <c r="AAG7" s="42"/>
      <c r="AAH7" s="42"/>
      <c r="AAI7" s="42"/>
      <c r="AAJ7" s="42"/>
      <c r="AAK7" s="42"/>
      <c r="AAL7" s="42"/>
      <c r="AAM7" s="42"/>
      <c r="AAN7" s="42"/>
      <c r="AAO7" s="42"/>
      <c r="AAP7" s="42"/>
      <c r="AAQ7" s="42"/>
      <c r="AAR7" s="42"/>
      <c r="AAS7" s="42"/>
      <c r="AAT7" s="42"/>
      <c r="AAU7" s="42"/>
      <c r="AAV7" s="42"/>
      <c r="AAW7" s="42"/>
      <c r="AAX7" s="42"/>
      <c r="AAY7" s="42"/>
      <c r="AAZ7" s="42"/>
      <c r="ABA7" s="42"/>
      <c r="ABB7" s="42"/>
      <c r="ABC7" s="42"/>
      <c r="ABD7" s="42"/>
      <c r="ABE7" s="42"/>
      <c r="ABF7" s="42"/>
      <c r="ABG7" s="42"/>
      <c r="ABH7" s="42"/>
      <c r="ABI7" s="42"/>
      <c r="ABJ7" s="42"/>
      <c r="ABK7" s="42"/>
      <c r="ABL7" s="42"/>
      <c r="ABM7" s="42"/>
      <c r="ABN7" s="42"/>
      <c r="ABO7" s="42"/>
      <c r="ABP7" s="42"/>
      <c r="ABQ7" s="42"/>
      <c r="ABR7" s="42"/>
      <c r="ABS7" s="42"/>
      <c r="ABT7" s="42"/>
      <c r="ABU7" s="42"/>
      <c r="ABV7" s="42"/>
      <c r="ABW7" s="42"/>
      <c r="ABX7" s="42"/>
      <c r="ABY7" s="42"/>
      <c r="ABZ7" s="42"/>
      <c r="ACA7" s="42"/>
      <c r="ACB7" s="42"/>
      <c r="ACC7" s="42"/>
      <c r="ACD7" s="42"/>
      <c r="ACE7" s="42"/>
      <c r="ACF7" s="42"/>
      <c r="ACG7" s="42"/>
      <c r="ACH7" s="42"/>
      <c r="ACI7" s="42"/>
      <c r="ACJ7" s="42"/>
      <c r="ACK7" s="42"/>
      <c r="ACL7" s="42"/>
      <c r="ACM7" s="42"/>
      <c r="ACN7" s="42"/>
      <c r="ACO7" s="42"/>
      <c r="ACP7" s="42"/>
      <c r="ACQ7" s="42"/>
      <c r="ACR7" s="42"/>
      <c r="ACS7" s="42"/>
      <c r="ACT7" s="42"/>
      <c r="ACU7" s="42"/>
      <c r="ACV7" s="42"/>
      <c r="ACW7" s="42"/>
      <c r="ACX7" s="42"/>
      <c r="ACY7" s="42"/>
      <c r="ACZ7" s="42"/>
      <c r="ADA7" s="42"/>
      <c r="ADB7" s="42"/>
      <c r="ADC7" s="42"/>
      <c r="ADD7" s="42"/>
      <c r="ADE7" s="42"/>
      <c r="ADF7" s="42"/>
      <c r="ADG7" s="42"/>
      <c r="ADH7" s="42"/>
      <c r="ADI7" s="42"/>
      <c r="ADJ7" s="42"/>
      <c r="ADK7" s="42"/>
      <c r="ADL7" s="42"/>
      <c r="ADM7" s="42"/>
      <c r="ADN7" s="42"/>
      <c r="ADO7" s="42"/>
      <c r="ADP7" s="42"/>
      <c r="ADQ7" s="42"/>
      <c r="ADR7" s="42"/>
      <c r="ADS7" s="42"/>
      <c r="ADT7" s="42"/>
      <c r="ADU7" s="42"/>
      <c r="ADV7" s="42"/>
      <c r="ADW7" s="42"/>
      <c r="ADX7" s="42"/>
      <c r="ADY7" s="42"/>
      <c r="ADZ7" s="42"/>
      <c r="AEA7" s="42"/>
      <c r="AEB7" s="42"/>
      <c r="AEC7" s="42"/>
      <c r="AED7" s="42"/>
      <c r="AEE7" s="42"/>
      <c r="AEF7" s="42"/>
      <c r="AEG7" s="42"/>
      <c r="AEH7" s="42"/>
      <c r="AEI7" s="42"/>
      <c r="AEJ7" s="42"/>
      <c r="AEK7" s="42"/>
      <c r="AEL7" s="42"/>
      <c r="AEM7" s="42"/>
      <c r="AEN7" s="42"/>
      <c r="AEO7" s="42"/>
      <c r="AEP7" s="42"/>
      <c r="AEQ7" s="42"/>
      <c r="AER7" s="42"/>
      <c r="AES7" s="42"/>
      <c r="AET7" s="42"/>
      <c r="AEU7" s="42"/>
      <c r="AEV7" s="42"/>
      <c r="AEW7" s="42"/>
      <c r="AEX7" s="42"/>
      <c r="AEY7" s="42"/>
      <c r="AEZ7" s="42"/>
      <c r="AFA7" s="42"/>
      <c r="AFB7" s="42"/>
      <c r="AFC7" s="42"/>
      <c r="AFD7" s="42"/>
      <c r="AFE7" s="42"/>
      <c r="AFF7" s="42"/>
      <c r="AFG7" s="42"/>
      <c r="AFH7" s="42"/>
      <c r="AFI7" s="42"/>
      <c r="AFJ7" s="42"/>
      <c r="AFK7" s="42"/>
      <c r="AFL7" s="42"/>
      <c r="AFM7" s="42"/>
      <c r="AFN7" s="42"/>
      <c r="AFO7" s="42"/>
      <c r="AFP7" s="42"/>
      <c r="AFQ7" s="42"/>
      <c r="AFR7" s="42"/>
      <c r="AFS7" s="42"/>
      <c r="AFT7" s="42"/>
      <c r="AFU7" s="42"/>
      <c r="AFV7" s="42"/>
      <c r="AFW7" s="42"/>
      <c r="AFX7" s="42"/>
      <c r="AFY7" s="42"/>
      <c r="AFZ7" s="42"/>
      <c r="AGA7" s="42"/>
      <c r="AGB7" s="42"/>
      <c r="AGC7" s="42"/>
      <c r="AGD7" s="42"/>
      <c r="AGE7" s="42"/>
      <c r="AGF7" s="42"/>
      <c r="AGG7" s="42"/>
      <c r="AGH7" s="42"/>
      <c r="AGI7" s="42"/>
      <c r="AGJ7" s="42"/>
      <c r="AGK7" s="42"/>
      <c r="AGL7" s="42"/>
      <c r="AGM7" s="42"/>
      <c r="AGN7" s="42"/>
      <c r="AGO7" s="42"/>
      <c r="AGP7" s="42"/>
      <c r="AGQ7" s="42"/>
      <c r="AGR7" s="42"/>
      <c r="AGS7" s="42"/>
      <c r="AGT7" s="42"/>
      <c r="AGU7" s="42"/>
      <c r="AGV7" s="42"/>
      <c r="AGW7" s="42"/>
      <c r="AGX7" s="42"/>
      <c r="AGY7" s="42"/>
      <c r="AGZ7" s="42"/>
      <c r="AHA7" s="42"/>
      <c r="AHB7" s="42"/>
      <c r="AHC7" s="42"/>
      <c r="AHD7" s="42"/>
      <c r="AHE7" s="42"/>
      <c r="AHF7" s="42"/>
      <c r="AHG7" s="42"/>
      <c r="AHH7" s="42"/>
      <c r="AHI7" s="42"/>
      <c r="AHJ7" s="42"/>
      <c r="AHK7" s="42"/>
      <c r="AHL7" s="42"/>
      <c r="AHM7" s="42"/>
      <c r="AHN7" s="42"/>
      <c r="AHO7" s="42"/>
      <c r="AHP7" s="42"/>
      <c r="AHQ7" s="42"/>
      <c r="AHR7" s="42"/>
      <c r="AHS7" s="42"/>
      <c r="AHT7" s="42"/>
      <c r="AHU7" s="42"/>
      <c r="AHV7" s="42"/>
      <c r="AHW7" s="42"/>
      <c r="AHX7" s="42"/>
      <c r="AHY7" s="42"/>
      <c r="AHZ7" s="42"/>
      <c r="AIA7" s="42"/>
      <c r="AIB7" s="42"/>
      <c r="AIC7" s="42"/>
      <c r="AID7" s="42"/>
      <c r="AIE7" s="42"/>
      <c r="AIF7" s="42"/>
      <c r="AIG7" s="42"/>
      <c r="AIH7" s="42"/>
      <c r="AII7" s="42"/>
      <c r="AIJ7" s="42"/>
      <c r="AIK7" s="42"/>
      <c r="AIL7" s="42"/>
      <c r="AIM7" s="42"/>
      <c r="AIN7" s="42"/>
      <c r="AIO7" s="42"/>
      <c r="AIP7" s="42"/>
      <c r="AIQ7" s="42"/>
      <c r="AIR7" s="42"/>
      <c r="AIS7" s="42"/>
      <c r="AIT7" s="42"/>
      <c r="AIU7" s="42"/>
      <c r="AIV7" s="42"/>
      <c r="AIW7" s="42"/>
      <c r="AIX7" s="42"/>
      <c r="AIY7" s="42"/>
      <c r="AIZ7" s="42"/>
      <c r="AJA7" s="42"/>
      <c r="AJB7" s="42"/>
      <c r="AJC7" s="42"/>
      <c r="AJD7" s="42"/>
      <c r="AJE7" s="42"/>
      <c r="AJF7" s="42"/>
      <c r="AJG7" s="42"/>
      <c r="AJH7" s="42"/>
      <c r="AJI7" s="42"/>
      <c r="AJJ7" s="42"/>
      <c r="AJK7" s="42"/>
      <c r="AJL7" s="42"/>
      <c r="AJM7" s="42"/>
      <c r="AJN7" s="42"/>
      <c r="AJO7" s="42"/>
      <c r="AJP7" s="42"/>
      <c r="AJQ7" s="42"/>
      <c r="AJR7" s="42"/>
      <c r="AJS7" s="42"/>
      <c r="AJT7" s="42"/>
      <c r="AJU7" s="42"/>
      <c r="AJV7" s="42"/>
      <c r="AJW7" s="42"/>
      <c r="AJX7" s="42"/>
      <c r="AJY7" s="42"/>
      <c r="AJZ7" s="42"/>
      <c r="AKA7" s="42"/>
      <c r="AKB7" s="42"/>
      <c r="AKC7" s="42"/>
      <c r="AKD7" s="42"/>
      <c r="AKE7" s="42"/>
      <c r="AKF7" s="42"/>
      <c r="AKG7" s="42"/>
      <c r="AKH7" s="42"/>
      <c r="AKI7" s="42"/>
      <c r="AKJ7" s="42"/>
      <c r="AKK7" s="42"/>
      <c r="AKL7" s="42"/>
      <c r="AKM7" s="42"/>
      <c r="AKN7" s="42"/>
      <c r="AKO7" s="42"/>
      <c r="AKP7" s="42"/>
      <c r="AKQ7" s="42"/>
      <c r="AKR7" s="42"/>
      <c r="AKS7" s="42"/>
      <c r="AKT7" s="42"/>
      <c r="AKU7" s="42"/>
      <c r="AKV7" s="42"/>
      <c r="AKW7" s="42"/>
      <c r="AKX7" s="42"/>
      <c r="AKY7" s="42"/>
      <c r="AKZ7" s="42"/>
      <c r="ALA7" s="42"/>
      <c r="ALB7" s="42"/>
      <c r="ALC7" s="42"/>
      <c r="ALD7" s="42"/>
      <c r="ALE7" s="42"/>
      <c r="ALF7" s="42"/>
      <c r="ALG7" s="42"/>
      <c r="ALH7" s="42"/>
      <c r="ALI7" s="42"/>
      <c r="ALJ7" s="42"/>
      <c r="ALK7" s="42"/>
      <c r="ALL7" s="42"/>
      <c r="ALM7" s="42"/>
      <c r="ALN7" s="42"/>
      <c r="ALO7" s="42"/>
      <c r="ALP7" s="42"/>
      <c r="ALQ7" s="42"/>
      <c r="ALR7" s="42"/>
      <c r="ALS7" s="42"/>
      <c r="ALT7" s="42"/>
      <c r="ALU7" s="42"/>
      <c r="ALV7" s="42"/>
      <c r="ALW7" s="42"/>
      <c r="ALX7" s="42"/>
      <c r="ALY7" s="42"/>
      <c r="ALZ7" s="42"/>
      <c r="AMA7" s="42"/>
      <c r="AMB7" s="42"/>
      <c r="AMC7" s="42"/>
      <c r="AMD7" s="42"/>
      <c r="AME7" s="42"/>
      <c r="AMF7" s="42"/>
      <c r="AMG7" s="42"/>
      <c r="AMH7" s="42"/>
      <c r="AMI7" s="42"/>
      <c r="AMJ7" s="42"/>
      <c r="AMK7" s="42"/>
      <c r="AML7" s="42"/>
      <c r="AMM7" s="42"/>
      <c r="AMN7" s="42"/>
      <c r="AMO7" s="42"/>
      <c r="AMP7" s="42"/>
      <c r="AMQ7" s="42"/>
      <c r="AMR7" s="42"/>
      <c r="AMS7" s="42"/>
      <c r="AMT7" s="42"/>
      <c r="AMU7" s="42"/>
      <c r="AMV7" s="42"/>
      <c r="AMW7" s="42"/>
      <c r="AMX7" s="42"/>
      <c r="AMY7" s="42"/>
      <c r="AMZ7" s="42"/>
      <c r="ANA7" s="42"/>
      <c r="ANB7" s="42"/>
      <c r="ANC7" s="42"/>
      <c r="AND7" s="42"/>
      <c r="ANE7" s="42"/>
      <c r="ANF7" s="42"/>
      <c r="ANG7" s="42"/>
      <c r="ANH7" s="42"/>
      <c r="ANI7" s="42"/>
      <c r="ANJ7" s="42"/>
      <c r="ANK7" s="42"/>
      <c r="ANL7" s="42"/>
      <c r="ANM7" s="42"/>
      <c r="ANN7" s="42"/>
      <c r="ANO7" s="42"/>
      <c r="ANP7" s="42"/>
      <c r="ANQ7" s="42"/>
      <c r="ANR7" s="42"/>
      <c r="ANS7" s="42"/>
      <c r="ANT7" s="42"/>
      <c r="ANU7" s="42"/>
      <c r="ANV7" s="42"/>
      <c r="ANW7" s="42"/>
      <c r="ANX7" s="42"/>
      <c r="ANY7" s="42"/>
      <c r="ANZ7" s="42"/>
      <c r="AOA7" s="42"/>
      <c r="AOB7" s="42"/>
      <c r="AOC7" s="42"/>
      <c r="AOD7" s="42"/>
      <c r="AOE7" s="42"/>
      <c r="AOF7" s="42"/>
      <c r="AOG7" s="42"/>
      <c r="AOH7" s="42"/>
      <c r="AOI7" s="42"/>
      <c r="AOJ7" s="42"/>
      <c r="AOK7" s="42"/>
      <c r="AOL7" s="42"/>
      <c r="AOM7" s="42"/>
      <c r="AON7" s="42"/>
      <c r="AOO7" s="42"/>
      <c r="AOP7" s="42"/>
      <c r="AOQ7" s="42"/>
      <c r="AOR7" s="42"/>
      <c r="AOS7" s="42"/>
      <c r="AOT7" s="42"/>
      <c r="AOU7" s="42"/>
      <c r="AOV7" s="42"/>
      <c r="AOW7" s="42"/>
      <c r="AOX7" s="42"/>
      <c r="AOY7" s="42"/>
      <c r="AOZ7" s="42"/>
      <c r="APA7" s="42"/>
      <c r="APB7" s="42"/>
      <c r="APC7" s="42"/>
      <c r="APD7" s="42"/>
      <c r="APE7" s="42"/>
      <c r="APF7" s="42"/>
      <c r="APG7" s="42"/>
      <c r="APH7" s="42"/>
      <c r="API7" s="42"/>
      <c r="APJ7" s="42"/>
      <c r="APK7" s="42"/>
      <c r="APL7" s="42"/>
      <c r="APM7" s="42"/>
      <c r="APN7" s="42"/>
      <c r="APO7" s="42"/>
      <c r="APP7" s="42"/>
      <c r="APQ7" s="42"/>
      <c r="APR7" s="42"/>
      <c r="APS7" s="42"/>
      <c r="APT7" s="42"/>
      <c r="APU7" s="42"/>
      <c r="APV7" s="42"/>
      <c r="APW7" s="42"/>
      <c r="APX7" s="42"/>
      <c r="APY7" s="42"/>
      <c r="APZ7" s="42"/>
      <c r="AQA7" s="42"/>
      <c r="AQB7" s="42"/>
      <c r="AQC7" s="42"/>
      <c r="AQD7" s="42"/>
      <c r="AQE7" s="42"/>
      <c r="AQF7" s="42"/>
      <c r="AQG7" s="42"/>
      <c r="AQH7" s="42"/>
      <c r="AQI7" s="42"/>
      <c r="AQJ7" s="42"/>
      <c r="AQK7" s="42"/>
      <c r="AQL7" s="42"/>
      <c r="AQM7" s="42"/>
      <c r="AQN7" s="42"/>
      <c r="AQO7" s="42"/>
      <c r="AQP7" s="42"/>
      <c r="AQQ7" s="42"/>
      <c r="AQR7" s="42"/>
      <c r="AQS7" s="42"/>
      <c r="AQT7" s="42"/>
      <c r="AQU7" s="42"/>
      <c r="AQV7" s="42"/>
      <c r="AQW7" s="42"/>
      <c r="AQX7" s="42"/>
      <c r="AQY7" s="42"/>
      <c r="AQZ7" s="42"/>
      <c r="ARA7" s="42"/>
      <c r="ARB7" s="42"/>
      <c r="ARC7" s="42"/>
      <c r="ARD7" s="42"/>
      <c r="ARE7" s="42"/>
      <c r="ARF7" s="42"/>
      <c r="ARG7" s="42"/>
      <c r="ARH7" s="42"/>
      <c r="ARI7" s="42"/>
      <c r="ARJ7" s="42"/>
      <c r="ARK7" s="42"/>
      <c r="ARL7" s="42"/>
      <c r="ARM7" s="42"/>
      <c r="ARN7" s="42"/>
      <c r="ARO7" s="42"/>
      <c r="ARP7" s="42"/>
      <c r="ARQ7" s="42"/>
      <c r="ARR7" s="42"/>
      <c r="ARS7" s="42"/>
      <c r="ART7" s="42"/>
      <c r="ARU7" s="42"/>
      <c r="ARV7" s="42"/>
      <c r="ARW7" s="42"/>
      <c r="ARX7" s="42"/>
      <c r="ARY7" s="42"/>
      <c r="ARZ7" s="42"/>
      <c r="ASA7" s="42"/>
      <c r="ASB7" s="42"/>
      <c r="ASC7" s="42"/>
      <c r="ASD7" s="42"/>
      <c r="ASE7" s="42"/>
      <c r="ASF7" s="42"/>
      <c r="ASG7" s="42"/>
      <c r="ASH7" s="42"/>
      <c r="ASI7" s="42"/>
      <c r="ASJ7" s="42"/>
      <c r="ASK7" s="42"/>
      <c r="ASL7" s="42"/>
      <c r="ASM7" s="42"/>
      <c r="ASN7" s="42"/>
      <c r="ASO7" s="42"/>
      <c r="ASP7" s="42"/>
      <c r="ASQ7" s="42"/>
      <c r="ASR7" s="42"/>
      <c r="ASS7" s="42"/>
      <c r="AST7" s="42"/>
      <c r="ASU7" s="42"/>
      <c r="ASV7" s="42"/>
      <c r="ASW7" s="42"/>
      <c r="ASX7" s="42"/>
      <c r="ASY7" s="42"/>
      <c r="ASZ7" s="42"/>
      <c r="ATA7" s="42"/>
      <c r="ATB7" s="42"/>
      <c r="ATC7" s="42"/>
      <c r="ATD7" s="42"/>
      <c r="ATE7" s="42"/>
      <c r="ATF7" s="42"/>
      <c r="ATG7" s="42"/>
      <c r="ATH7" s="42"/>
      <c r="ATI7" s="42"/>
      <c r="ATJ7" s="42"/>
      <c r="ATK7" s="42"/>
      <c r="ATL7" s="42"/>
      <c r="ATM7" s="42"/>
      <c r="ATN7" s="42"/>
      <c r="ATO7" s="42"/>
      <c r="ATP7" s="42"/>
      <c r="ATQ7" s="42"/>
      <c r="ATR7" s="42"/>
      <c r="ATS7" s="42"/>
      <c r="ATT7" s="42"/>
      <c r="ATU7" s="42"/>
      <c r="ATV7" s="42"/>
      <c r="ATW7" s="42"/>
      <c r="ATX7" s="42"/>
      <c r="ATY7" s="42"/>
      <c r="ATZ7" s="42"/>
      <c r="AUA7" s="42"/>
      <c r="AUB7" s="42"/>
      <c r="AUC7" s="42"/>
      <c r="AUD7" s="42"/>
      <c r="AUE7" s="42"/>
      <c r="AUF7" s="42"/>
      <c r="AUG7" s="42"/>
      <c r="AUH7" s="42"/>
      <c r="AUI7" s="42"/>
      <c r="AUJ7" s="42"/>
      <c r="AUK7" s="42"/>
      <c r="AUL7" s="42"/>
      <c r="AUM7" s="42"/>
      <c r="AUN7" s="42"/>
      <c r="AUO7" s="42"/>
      <c r="AUP7" s="42"/>
      <c r="AUQ7" s="42"/>
      <c r="AUR7" s="42"/>
      <c r="AUS7" s="42"/>
      <c r="AUT7" s="42"/>
      <c r="AUU7" s="42"/>
      <c r="AUV7" s="42"/>
      <c r="AUW7" s="42"/>
      <c r="AUX7" s="42"/>
      <c r="AUY7" s="42"/>
      <c r="AUZ7" s="42"/>
      <c r="AVA7" s="42"/>
      <c r="AVB7" s="42"/>
      <c r="AVC7" s="42"/>
      <c r="AVD7" s="42"/>
      <c r="AVE7" s="42"/>
      <c r="AVF7" s="42"/>
      <c r="AVG7" s="42"/>
      <c r="AVH7" s="42"/>
      <c r="AVI7" s="42"/>
      <c r="AVJ7" s="42"/>
      <c r="AVK7" s="42"/>
      <c r="AVL7" s="42"/>
      <c r="AVM7" s="42"/>
      <c r="AVN7" s="42"/>
      <c r="AVO7" s="42"/>
      <c r="AVP7" s="42"/>
      <c r="AVQ7" s="42"/>
      <c r="AVR7" s="42"/>
      <c r="AVS7" s="42"/>
      <c r="AVT7" s="42"/>
      <c r="AVU7" s="42"/>
      <c r="AVV7" s="42"/>
      <c r="AVW7" s="42"/>
      <c r="AVX7" s="42"/>
      <c r="AVY7" s="42"/>
      <c r="AVZ7" s="42"/>
      <c r="AWA7" s="42"/>
      <c r="AWB7" s="42"/>
      <c r="AWC7" s="42"/>
      <c r="AWD7" s="42"/>
      <c r="AWE7" s="42"/>
      <c r="AWF7" s="42"/>
      <c r="AWG7" s="42"/>
      <c r="AWH7" s="42"/>
      <c r="AWI7" s="42"/>
      <c r="AWJ7" s="42"/>
      <c r="AWK7" s="42"/>
      <c r="AWL7" s="42"/>
      <c r="AWM7" s="42"/>
      <c r="AWN7" s="42"/>
      <c r="AWO7" s="42"/>
      <c r="AWP7" s="42"/>
      <c r="AWQ7" s="42"/>
      <c r="AWR7" s="42"/>
      <c r="AWS7" s="42"/>
      <c r="AWT7" s="42"/>
      <c r="AWU7" s="42"/>
      <c r="AWV7" s="42"/>
      <c r="AWW7" s="42"/>
      <c r="AWX7" s="42"/>
      <c r="AWY7" s="42"/>
      <c r="AWZ7" s="42"/>
      <c r="AXA7" s="42"/>
      <c r="AXB7" s="42"/>
      <c r="AXC7" s="42"/>
      <c r="AXD7" s="42"/>
      <c r="AXE7" s="42"/>
      <c r="AXF7" s="42"/>
      <c r="AXG7" s="42"/>
      <c r="AXH7" s="42"/>
      <c r="AXI7" s="42"/>
      <c r="AXJ7" s="42"/>
      <c r="AXK7" s="42"/>
      <c r="AXL7" s="42"/>
      <c r="AXM7" s="42"/>
      <c r="AXN7" s="42"/>
      <c r="AXO7" s="42"/>
      <c r="AXP7" s="42"/>
      <c r="AXQ7" s="42"/>
      <c r="AXR7" s="42"/>
      <c r="AXS7" s="42"/>
      <c r="AXT7" s="42"/>
      <c r="AXU7" s="42"/>
      <c r="AXV7" s="42"/>
      <c r="AXW7" s="42"/>
      <c r="AXX7" s="42"/>
      <c r="AXY7" s="42"/>
      <c r="AXZ7" s="42"/>
      <c r="AYA7" s="42"/>
      <c r="AYB7" s="42"/>
      <c r="AYC7" s="42"/>
      <c r="AYD7" s="42"/>
      <c r="AYE7" s="42"/>
      <c r="AYF7" s="42"/>
      <c r="AYG7" s="42"/>
      <c r="AYH7" s="42"/>
      <c r="AYI7" s="42"/>
      <c r="AYJ7" s="42"/>
      <c r="AYK7" s="42"/>
      <c r="AYL7" s="42"/>
      <c r="AYM7" s="42"/>
      <c r="AYN7" s="42"/>
      <c r="AYO7" s="42"/>
      <c r="AYP7" s="42"/>
      <c r="AYQ7" s="42"/>
      <c r="AYR7" s="42"/>
      <c r="AYS7" s="42"/>
      <c r="AYT7" s="42"/>
      <c r="AYU7" s="42"/>
      <c r="AYV7" s="42"/>
      <c r="AYW7" s="42"/>
      <c r="AYX7" s="42"/>
      <c r="AYY7" s="42"/>
      <c r="AYZ7" s="42"/>
      <c r="AZA7" s="42"/>
      <c r="AZB7" s="42"/>
      <c r="AZC7" s="42"/>
      <c r="AZD7" s="42"/>
      <c r="AZE7" s="42"/>
      <c r="AZF7" s="42"/>
      <c r="AZG7" s="42"/>
      <c r="AZH7" s="42"/>
      <c r="AZI7" s="42"/>
      <c r="AZJ7" s="42"/>
      <c r="AZK7" s="42"/>
      <c r="AZL7" s="42"/>
      <c r="AZM7" s="42"/>
      <c r="AZN7" s="42"/>
      <c r="AZO7" s="42"/>
      <c r="AZP7" s="42"/>
      <c r="AZQ7" s="42"/>
      <c r="AZR7" s="42"/>
      <c r="AZS7" s="42"/>
      <c r="AZT7" s="42"/>
      <c r="AZU7" s="42"/>
      <c r="AZV7" s="42"/>
      <c r="AZW7" s="42"/>
      <c r="AZX7" s="42"/>
      <c r="AZY7" s="42"/>
      <c r="AZZ7" s="42"/>
      <c r="BAA7" s="42"/>
      <c r="BAB7" s="42"/>
      <c r="BAC7" s="42"/>
      <c r="BAD7" s="42"/>
      <c r="BAE7" s="42"/>
      <c r="BAF7" s="42"/>
      <c r="BAG7" s="42"/>
      <c r="BAH7" s="42"/>
      <c r="BAI7" s="42"/>
      <c r="BAJ7" s="42"/>
      <c r="BAK7" s="42"/>
      <c r="BAL7" s="42"/>
      <c r="BAM7" s="42"/>
      <c r="BAN7" s="42"/>
      <c r="BAO7" s="42"/>
      <c r="BAP7" s="42"/>
      <c r="BAQ7" s="42"/>
      <c r="BAR7" s="42"/>
      <c r="BAS7" s="42"/>
      <c r="BAT7" s="42"/>
      <c r="BAU7" s="42"/>
      <c r="BAV7" s="42"/>
      <c r="BAW7" s="42"/>
      <c r="BAX7" s="42"/>
      <c r="BAY7" s="42"/>
      <c r="BAZ7" s="42"/>
      <c r="BBA7" s="42"/>
      <c r="BBB7" s="42"/>
      <c r="BBC7" s="42"/>
      <c r="BBD7" s="42"/>
      <c r="BBE7" s="42"/>
      <c r="BBF7" s="42"/>
      <c r="BBG7" s="42"/>
      <c r="BBH7" s="42"/>
      <c r="BBI7" s="42"/>
      <c r="BBJ7" s="42"/>
      <c r="BBK7" s="42"/>
      <c r="BBL7" s="42"/>
      <c r="BBM7" s="42"/>
      <c r="BBN7" s="42"/>
      <c r="BBO7" s="42"/>
      <c r="BBP7" s="42"/>
      <c r="BBQ7" s="42"/>
      <c r="BBR7" s="42"/>
    </row>
    <row r="8" spans="1:1422" ht="31.8" customHeight="1" x14ac:dyDescent="0.3">
      <c r="C8" s="93" t="str" cm="1">
        <f t="array" ref="C8">"R$ "&amp;TEXT(INDEX(C̳álculos!$H$25:$J$25,C̳álculos!$H$44),"0.000,00")</f>
        <v>R$ 1.754,00</v>
      </c>
      <c r="D8" s="94"/>
      <c r="E8" s="94"/>
      <c r="F8" s="94"/>
      <c r="G8" s="94"/>
      <c r="H8" s="94"/>
      <c r="I8" s="94"/>
      <c r="J8" s="94"/>
      <c r="K8" s="94"/>
    </row>
    <row r="9" spans="1:1422" ht="2.4" customHeight="1" x14ac:dyDescent="0.3">
      <c r="C9" s="77"/>
      <c r="D9" s="77"/>
      <c r="E9" s="77"/>
      <c r="F9" s="77"/>
      <c r="G9" s="77"/>
      <c r="H9" s="77"/>
      <c r="I9" s="77"/>
      <c r="J9" s="77"/>
      <c r="K9" s="77"/>
    </row>
    <row r="10" spans="1:1422" ht="7.2" customHeight="1" x14ac:dyDescent="0.3">
      <c r="C10" s="95"/>
      <c r="D10" s="96"/>
      <c r="E10" s="96"/>
      <c r="F10" s="96"/>
      <c r="G10" s="96"/>
      <c r="H10" s="96"/>
      <c r="I10" s="96"/>
      <c r="J10" s="96"/>
      <c r="K10" s="96"/>
    </row>
    <row r="11" spans="1:1422" ht="28.8" customHeight="1" x14ac:dyDescent="0.3">
      <c r="C11" s="97" t="str">
        <f>"Net revenue (after coupons) for the selected subscription type"</f>
        <v>Net revenue (after coupons) for the selected subscription type</v>
      </c>
      <c r="D11" s="98"/>
      <c r="E11" s="98"/>
      <c r="F11" s="98"/>
      <c r="G11" s="98"/>
      <c r="H11" s="98"/>
      <c r="I11" s="98"/>
      <c r="J11" s="98"/>
      <c r="K11" s="98"/>
    </row>
    <row r="13" spans="1:1422" ht="15" thickBot="1" x14ac:dyDescent="0.35"/>
    <row r="14" spans="1:1422" s="55" customFormat="1" ht="7.2" customHeight="1" x14ac:dyDescent="0.3">
      <c r="A14" s="56"/>
      <c r="B14" s="4"/>
      <c r="C14" s="79"/>
      <c r="D14" s="79"/>
      <c r="E14" s="79"/>
      <c r="F14" s="79"/>
      <c r="G14" s="22"/>
      <c r="H14" s="81"/>
      <c r="I14" s="81"/>
      <c r="J14" s="81"/>
      <c r="K14" s="81"/>
      <c r="L14" s="53"/>
      <c r="M14" s="53"/>
    </row>
    <row r="15" spans="1:1422" ht="30" customHeight="1" x14ac:dyDescent="0.3">
      <c r="C15" s="100" t="s">
        <v>363</v>
      </c>
      <c r="D15" s="100"/>
      <c r="E15" s="100"/>
      <c r="F15" s="100"/>
      <c r="G15" s="54"/>
      <c r="H15" s="90" t="s">
        <v>370</v>
      </c>
      <c r="I15" s="90"/>
      <c r="J15" s="90"/>
      <c r="K15" s="90"/>
    </row>
    <row r="16" spans="1:1422" ht="47.4" customHeight="1" x14ac:dyDescent="0.3">
      <c r="C16" s="99" t="str">
        <f>"R$ "&amp;FIXED(INDEX(C̳álculos!$H$27:$J$27,C̳álculos!$H$44),2)</f>
        <v>R$ 1.537,00</v>
      </c>
      <c r="D16" s="99"/>
      <c r="E16" s="99"/>
      <c r="F16" s="99"/>
      <c r="G16" s="22"/>
      <c r="H16" s="87" t="str">
        <f>"R$ "&amp;FIXED(INDEX(C̳álculos!$H$28:$J$28,C̳álculos!$H$44),2)</f>
        <v>R$ 940,00</v>
      </c>
      <c r="I16" s="87"/>
      <c r="J16" s="87"/>
      <c r="K16" s="87"/>
    </row>
    <row r="17" spans="1:13" ht="27" customHeight="1" x14ac:dyDescent="0.3">
      <c r="C17" s="101" t="str">
        <f>FIXED(INDEX(C̳álculos!$H$39:$J$39,C̳álculos!$H$44)*100,1)&amp;"% of revenue"</f>
        <v>87,6% of revenue</v>
      </c>
      <c r="D17" s="101"/>
      <c r="E17" s="101"/>
      <c r="F17" s="101"/>
      <c r="G17" s="23"/>
      <c r="H17" s="88" t="str">
        <f>FIXED(INDEX(C̳álculos!$H$40:$J$40,C̳álculos!$H$44)*100,1)&amp;"% of revenue"</f>
        <v>53,6% of revenue</v>
      </c>
      <c r="I17" s="88"/>
      <c r="J17" s="88"/>
      <c r="K17" s="88"/>
    </row>
    <row r="18" spans="1:13" ht="6" customHeight="1" thickBot="1" x14ac:dyDescent="0.35"/>
    <row r="19" spans="1:13" s="55" customFormat="1" ht="7.2" customHeight="1" x14ac:dyDescent="0.3">
      <c r="A19" s="56"/>
      <c r="B19" s="4"/>
      <c r="C19" s="80"/>
      <c r="D19" s="80"/>
      <c r="E19" s="80"/>
      <c r="F19" s="80"/>
      <c r="G19" s="23"/>
      <c r="H19" s="80"/>
      <c r="I19" s="80"/>
      <c r="J19" s="80"/>
      <c r="K19" s="80"/>
      <c r="L19" s="53"/>
      <c r="M19" s="53"/>
    </row>
    <row r="20" spans="1:13" ht="30" customHeight="1" x14ac:dyDescent="0.3">
      <c r="C20" s="90" t="s">
        <v>305</v>
      </c>
      <c r="D20" s="90"/>
      <c r="E20" s="90"/>
      <c r="F20" s="90"/>
      <c r="G20" s="54"/>
      <c r="H20" s="90" t="s">
        <v>367</v>
      </c>
      <c r="I20" s="90"/>
      <c r="J20" s="90"/>
      <c r="K20" s="90"/>
    </row>
    <row r="21" spans="1:13" ht="47.4" customHeight="1" x14ac:dyDescent="0.3">
      <c r="C21" s="87" t="str">
        <f>"R$ "&amp;FIXED(INDEX(C̳álculos!$H$29:$J$29,C̳álculos!$H$44),2)</f>
        <v>R$ 600,00</v>
      </c>
      <c r="D21" s="87"/>
      <c r="E21" s="87"/>
      <c r="F21" s="87"/>
      <c r="G21" s="23"/>
      <c r="H21" s="87" t="str">
        <f>"R$ "&amp;FIXED(INDEX(C̳álculos!$H$26:$J$26,C̳álculos!$H$44),2)</f>
        <v>R$ 24,70</v>
      </c>
      <c r="I21" s="87"/>
      <c r="J21" s="87"/>
      <c r="K21" s="87"/>
    </row>
    <row r="22" spans="1:13" ht="27" customHeight="1" x14ac:dyDescent="0.3">
      <c r="C22" s="88" t="str">
        <f>FIXED(INDEX(C̳álculos!$H$41:$J$41,C̳álculos!$H$44)*100,1)&amp;"% of revenue"</f>
        <v>34,2% of revenue</v>
      </c>
      <c r="D22" s="88"/>
      <c r="E22" s="88"/>
      <c r="F22" s="88"/>
      <c r="G22" s="23"/>
      <c r="H22" s="88" t="str">
        <f>INDEX(C̳álculos!$H$24:$J$24,C̳álculos!$H$44)&amp;" subscriptions · R$ "&amp;FIXED(INDEX(C̳álculos!$H$25:$J$25,C̳álculos!$H$44),0)&amp;" ÷ "&amp;INDEX(C̳álculos!$H$24:$J$24,C̳álculos!$H$44)</f>
        <v>71 subscriptions · R$ 1.754 ÷ 71</v>
      </c>
      <c r="I22" s="88"/>
      <c r="J22" s="88"/>
      <c r="K22" s="88"/>
    </row>
    <row r="23" spans="1:13" ht="6.6" customHeight="1" thickBot="1" x14ac:dyDescent="0.35"/>
    <row r="24" spans="1:13" s="55" customFormat="1" ht="7.2" customHeight="1" x14ac:dyDescent="0.3">
      <c r="A24" s="56"/>
      <c r="B24" s="4"/>
      <c r="C24" s="80"/>
      <c r="D24" s="80"/>
      <c r="E24" s="80"/>
      <c r="F24" s="80"/>
      <c r="G24" s="23"/>
      <c r="H24" s="80"/>
      <c r="I24" s="80"/>
      <c r="J24" s="80"/>
      <c r="K24" s="80"/>
      <c r="L24" s="53"/>
      <c r="M24" s="53"/>
    </row>
    <row r="25" spans="1:13" ht="30" customHeight="1" x14ac:dyDescent="0.3">
      <c r="C25" s="90" t="s">
        <v>28</v>
      </c>
      <c r="D25" s="90"/>
      <c r="E25" s="90"/>
      <c r="F25" s="90"/>
      <c r="G25" s="54"/>
      <c r="H25" s="90" t="s">
        <v>366</v>
      </c>
      <c r="I25" s="90"/>
      <c r="J25" s="90"/>
      <c r="K25" s="90"/>
    </row>
    <row r="26" spans="1:13" ht="47.4" customHeight="1" x14ac:dyDescent="0.3">
      <c r="C26" s="87" t="str">
        <f>"R$ "&amp;FIXED(INDEX(C̳álculos!$H$30:$J$30,C̳álculos!$H$44),2)</f>
        <v>R$ 476,00</v>
      </c>
      <c r="D26" s="87"/>
      <c r="E26" s="87"/>
      <c r="F26" s="87"/>
      <c r="G26" s="23"/>
      <c r="H26" s="87" t="str">
        <f>INDEX(C̳álculos!$H$35:$J$35,C̳álculos!$H$44)</f>
        <v>Ultimate</v>
      </c>
      <c r="I26" s="87"/>
      <c r="J26" s="87"/>
      <c r="K26" s="87"/>
    </row>
    <row r="27" spans="1:13" ht="27" customHeight="1" x14ac:dyDescent="0.3">
      <c r="C27" s="88" t="str">
        <f>FIXED(INDEX(C̳álculos!$H$30:$J$30,C̳álculos!$H$44)/INDEX(C̳álculos!$H$31:$J$31,C̳álculos!$H$44)*100,1)&amp;"% of gross value (R$ "&amp;FIXED(INDEX(C̳álculos!$H$31:$J$31,C̳álculos!$H$44),0)&amp;")"</f>
        <v>21,3% of gross value (R$ 2.230)</v>
      </c>
      <c r="D27" s="88"/>
      <c r="E27" s="88"/>
      <c r="F27" s="88"/>
      <c r="G27" s="23"/>
      <c r="H27" s="88" t="str">
        <f>"R$ "&amp;FIXED(INDEX(C̳álculos!$H$36:$J$36,C̳álculos!$H$44),0)&amp;" · "&amp;FIXED(INDEX(C̳álculos!$H$36:$J$36,C̳álculos!$H$44)/INDEX(C̳álculos!$H$25:$J$25,C̳álculos!$H$44)*100,1)&amp;"% of revenue"</f>
        <v>R$ 1.186 · 67,6% of revenue</v>
      </c>
      <c r="I27" s="88"/>
      <c r="J27" s="88"/>
      <c r="K27" s="88"/>
    </row>
    <row r="28" spans="1:13" ht="4.8" customHeight="1" thickBot="1" x14ac:dyDescent="0.35"/>
    <row r="29" spans="1:13" s="55" customFormat="1" ht="7.2" customHeight="1" x14ac:dyDescent="0.3">
      <c r="A29" s="56"/>
      <c r="B29" s="4"/>
      <c r="C29" s="80"/>
      <c r="D29" s="80"/>
      <c r="E29" s="80"/>
      <c r="F29" s="80"/>
      <c r="G29" s="23"/>
      <c r="H29" s="80"/>
      <c r="I29" s="80"/>
      <c r="J29" s="80"/>
      <c r="K29" s="80"/>
      <c r="L29" s="53"/>
      <c r="M29" s="53"/>
    </row>
    <row r="30" spans="1:13" ht="30" customHeight="1" x14ac:dyDescent="0.3">
      <c r="C30" s="90" t="s">
        <v>364</v>
      </c>
      <c r="D30" s="90"/>
      <c r="E30" s="90"/>
      <c r="F30" s="90"/>
      <c r="G30" s="54"/>
      <c r="H30" s="90" t="s">
        <v>365</v>
      </c>
      <c r="I30" s="90"/>
      <c r="J30" s="90"/>
      <c r="K30" s="90"/>
    </row>
    <row r="31" spans="1:13" ht="47.4" customHeight="1" x14ac:dyDescent="0.3">
      <c r="C31" s="87" t="str">
        <f>FIXED(INDEX(C̳álculos!$H$37:$J$37,C̳álculos!$H$44)/INDEX(C̳álculos!$H$24:$J$24,C̳álculos!$H$44)*100,1)&amp;"%"</f>
        <v>66,2%</v>
      </c>
      <c r="D31" s="87"/>
      <c r="E31" s="87"/>
      <c r="F31" s="87"/>
      <c r="G31" s="23"/>
      <c r="H31" s="87" t="str">
        <f>FIXED(INDEX(C̳álculos!$H$38:$J$38,C̳álculos!$H$44)/INDEX(C̳álculos!$H$24:$J$24,C̳álculos!$H$44)*100,1)&amp;"%"</f>
        <v>28,2%</v>
      </c>
      <c r="I31" s="87"/>
      <c r="J31" s="87"/>
      <c r="K31" s="87"/>
    </row>
    <row r="32" spans="1:13" ht="27" customHeight="1" x14ac:dyDescent="0.3">
      <c r="C32" s="88" t="str">
        <f>INDEX(C̳álculos!$H$37:$J$37,C̳álculos!$H$44)&amp;" de "&amp;INDEX(C̳álculos!$H$24:$J$24,C̳álculos!$H$44)&amp;" subscribers bought the add-on"</f>
        <v>47 de 71 subscribers bought the add-on</v>
      </c>
      <c r="D32" s="88"/>
      <c r="E32" s="88"/>
      <c r="F32" s="88"/>
      <c r="G32" s="23"/>
      <c r="H32" s="88" t="str">
        <f>INDEX(C̳álculos!$H$38:$J$38,C̳álculos!$H$44)&amp;" de "&amp;INDEX(C̳álculos!$H$24:$J$24,C̳álculos!$H$44)&amp;" subscribers bought the add-on"</f>
        <v>20 de 71 subscribers bought the add-on</v>
      </c>
      <c r="I32" s="88"/>
      <c r="J32" s="88"/>
      <c r="K32" s="88"/>
    </row>
    <row r="33" spans="3:11" ht="24" customHeight="1" x14ac:dyDescent="0.3"/>
    <row r="34" spans="3:11" ht="24" customHeight="1" x14ac:dyDescent="0.3">
      <c r="C34" s="89" t="s">
        <v>335</v>
      </c>
      <c r="D34" s="84"/>
      <c r="E34" s="84"/>
      <c r="F34" s="84"/>
      <c r="G34" s="84"/>
      <c r="H34" s="84"/>
      <c r="I34" s="84"/>
      <c r="J34" s="84"/>
      <c r="K34" s="84"/>
    </row>
    <row r="35" spans="3:11" x14ac:dyDescent="0.3">
      <c r="C35" s="83" t="str">
        <f>"No "&amp;C̳álculos!$H$43&amp;", a renovação automática representa "&amp;FIXED(INDEX(C̳álculos!$H$39:$J$39,C̳álculos!$H$44)*100,1)&amp;"% do faturamento. Minecraft e EA Play representam juntos "&amp;FIXED((INDEX(C̳álculos!$H$28:$J$28,C̳álculos!$H$44)+INDEX(C̳álculos!$H$29:$J$29,C̳álculos!$H$44))/INDEX(C̳álculos!$H$25:$J$25,C̳álculos!$H$44)*100,0)&amp;"% do faturamento, e o plano "&amp;INDEX(C̳álculos!$H$35:$J$35,C̳álculos!$H$44)&amp;" lidera com "&amp;FIXED(INDEX(C̳álculos!$H$36:$J$36,C̳álculos!$H$44)/INDEX(C̳álculos!$H$25:$J$25,C̳álculos!$H$44)*100,1)&amp;"%."</f>
        <v>No Annual, a renovação automática representa 87,6% do faturamento. Minecraft e EA Play representam juntos 88% do faturamento, e o plano Ultimate lidera com 67,6%.</v>
      </c>
      <c r="D35" s="84"/>
      <c r="E35" s="84"/>
      <c r="F35" s="84"/>
      <c r="G35" s="84"/>
      <c r="H35" s="84"/>
      <c r="I35" s="84"/>
      <c r="J35" s="84"/>
      <c r="K35" s="84"/>
    </row>
    <row r="36" spans="3:11" ht="45" customHeight="1" x14ac:dyDescent="0.3">
      <c r="C36" s="84"/>
      <c r="D36" s="84"/>
      <c r="E36" s="84"/>
      <c r="F36" s="84"/>
      <c r="G36" s="84"/>
      <c r="H36" s="84"/>
      <c r="I36" s="84"/>
      <c r="J36" s="84"/>
      <c r="K36" s="84"/>
    </row>
    <row r="37" spans="3:11" ht="25.95" customHeight="1" x14ac:dyDescent="0.3"/>
    <row r="38" spans="3:11" ht="24.6" x14ac:dyDescent="0.3">
      <c r="C38" s="85" t="s">
        <v>336</v>
      </c>
      <c r="D38" s="86"/>
      <c r="E38" s="86"/>
      <c r="F38" s="86"/>
      <c r="G38" s="86"/>
      <c r="H38" s="86"/>
      <c r="I38" s="86"/>
      <c r="J38" s="86"/>
      <c r="K38" s="86"/>
    </row>
    <row r="39" spans="3:11" ht="24.6" x14ac:dyDescent="0.3">
      <c r="C39" s="57" t="s">
        <v>337</v>
      </c>
      <c r="D39" s="73" t="s">
        <v>338</v>
      </c>
      <c r="E39" s="58" t="s">
        <v>339</v>
      </c>
      <c r="F39" s="58" t="s">
        <v>340</v>
      </c>
      <c r="G39" s="59"/>
      <c r="H39" s="58" t="s">
        <v>341</v>
      </c>
      <c r="I39" s="58" t="s">
        <v>342</v>
      </c>
      <c r="J39" s="58" t="s">
        <v>343</v>
      </c>
      <c r="K39" s="73" t="s">
        <v>344</v>
      </c>
    </row>
    <row r="40" spans="3:11" ht="24.6" x14ac:dyDescent="0.3">
      <c r="C40" s="60" t="s">
        <v>20</v>
      </c>
      <c r="D40" s="75">
        <f>C̳álculos!H24</f>
        <v>71</v>
      </c>
      <c r="E40" s="61">
        <f>C̳álculos!H25</f>
        <v>1754</v>
      </c>
      <c r="F40" s="62">
        <f>C̳álculos!H26</f>
        <v>24.704225352112676</v>
      </c>
      <c r="G40" s="63"/>
      <c r="H40" s="64">
        <f>C̳álculos!H39</f>
        <v>0.87628278221208666</v>
      </c>
      <c r="I40" s="64">
        <f>C̳álculos!H40</f>
        <v>0.53591790193842648</v>
      </c>
      <c r="J40" s="64">
        <f>C̳álculos!H41</f>
        <v>0.34207525655644244</v>
      </c>
      <c r="K40" s="74" t="str">
        <f>C̳álculos!H35</f>
        <v>Ultimate</v>
      </c>
    </row>
    <row r="41" spans="3:11" ht="24.6" x14ac:dyDescent="0.55000000000000004">
      <c r="C41" s="60" t="s">
        <v>23</v>
      </c>
      <c r="D41" s="75">
        <f>C̳álculos!I24</f>
        <v>85</v>
      </c>
      <c r="E41" s="61">
        <f>C̳álculos!I25</f>
        <v>2308</v>
      </c>
      <c r="F41" s="62">
        <f>C̳álculos!I26</f>
        <v>27.152941176470588</v>
      </c>
      <c r="G41" s="65"/>
      <c r="H41" s="64">
        <f>C̳álculos!I39</f>
        <v>0.65077989601386477</v>
      </c>
      <c r="I41" s="64">
        <f>C̳álculos!I40</f>
        <v>0.49393414211438474</v>
      </c>
      <c r="J41" s="64">
        <f>C̳álculos!I41</f>
        <v>0.4289428076256499</v>
      </c>
      <c r="K41" s="74" t="str">
        <f>C̳álculos!I35</f>
        <v>Ultimate</v>
      </c>
    </row>
    <row r="42" spans="3:11" ht="24.6" x14ac:dyDescent="0.3">
      <c r="C42" s="60" t="s">
        <v>16</v>
      </c>
      <c r="D42" s="75">
        <f>C̳álculos!J24</f>
        <v>139</v>
      </c>
      <c r="E42" s="61">
        <f>C̳álculos!J25</f>
        <v>3571</v>
      </c>
      <c r="F42" s="62">
        <f>C̳álculos!J26</f>
        <v>25.690647482014388</v>
      </c>
      <c r="G42" s="63"/>
      <c r="H42" s="64">
        <f>C̳álculos!J39</f>
        <v>0.20918510221226547</v>
      </c>
      <c r="I42" s="64">
        <f>C̳álculos!J40</f>
        <v>0.50406048725847097</v>
      </c>
      <c r="J42" s="64">
        <f>C̳álculos!J41</f>
        <v>0.37804536544385325</v>
      </c>
      <c r="K42" s="74" t="str">
        <f>C̳álculos!J35</f>
        <v>Ultimate</v>
      </c>
    </row>
    <row r="44" spans="3:11" ht="21" x14ac:dyDescent="0.3">
      <c r="C44" s="78"/>
      <c r="D44" s="67"/>
      <c r="E44" s="67"/>
      <c r="F44" s="67"/>
      <c r="G44" s="67"/>
      <c r="H44" s="67"/>
    </row>
  </sheetData>
  <mergeCells count="31">
    <mergeCell ref="H25:K25"/>
    <mergeCell ref="C25:F25"/>
    <mergeCell ref="H20:K20"/>
    <mergeCell ref="C20:F20"/>
    <mergeCell ref="C15:F15"/>
    <mergeCell ref="H15:K15"/>
    <mergeCell ref="C17:F17"/>
    <mergeCell ref="H17:K17"/>
    <mergeCell ref="C21:F21"/>
    <mergeCell ref="C22:F22"/>
    <mergeCell ref="H21:K21"/>
    <mergeCell ref="H22:K22"/>
    <mergeCell ref="C7:K7"/>
    <mergeCell ref="C8:K8"/>
    <mergeCell ref="C10:K10"/>
    <mergeCell ref="C11:K11"/>
    <mergeCell ref="C16:F16"/>
    <mergeCell ref="H16:K16"/>
    <mergeCell ref="C26:F26"/>
    <mergeCell ref="C27:F27"/>
    <mergeCell ref="H26:K26"/>
    <mergeCell ref="H27:K27"/>
    <mergeCell ref="C34:K34"/>
    <mergeCell ref="H30:K30"/>
    <mergeCell ref="C30:F30"/>
    <mergeCell ref="C35:K36"/>
    <mergeCell ref="C38:K38"/>
    <mergeCell ref="C31:F31"/>
    <mergeCell ref="C32:F32"/>
    <mergeCell ref="H31:K31"/>
    <mergeCell ref="H32:K32"/>
  </mergeCells>
  <pageMargins left="0.5" right="0.5" top="0.5" bottom="0.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2000000}">
            <xm:f>$C40=C̳álculos!$H$43</xm:f>
            <x14:dxf>
              <font>
                <b/>
              </font>
              <fill>
                <patternFill>
                  <bgColor rgb="FFE8F5E9"/>
                </patternFill>
              </fill>
            </x14:dxf>
          </x14:cfRule>
          <xm:sqref>C40:K40 C41:F41 H41:K41 C42:K42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B̳ases</vt:lpstr>
      <vt:lpstr>A̳ssets</vt:lpstr>
      <vt:lpstr>C̳álculos</vt:lpstr>
      <vt:lpstr>D̳ashboard</vt:lpstr>
      <vt:lpstr>K̳PI &amp;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Leticia Alves</cp:lastModifiedBy>
  <dcterms:created xsi:type="dcterms:W3CDTF">2024-12-19T13:13:10Z</dcterms:created>
  <dcterms:modified xsi:type="dcterms:W3CDTF">2026-10-08T02:00:40Z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